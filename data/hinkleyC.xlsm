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8070" activeTab="4"/>
  </bookViews>
  <sheets>
    <sheet name="overview" sheetId="1" r:id="rId1"/>
    <sheet name="impact" sheetId="5" r:id="rId2"/>
    <sheet name="community" sheetId="4" r:id="rId3"/>
    <sheet name="location" sheetId="2" r:id="rId4"/>
    <sheet name="project" sheetId="7" r:id="rId5"/>
    <sheet name="proposal" sheetId="10" r:id="rId6"/>
    <sheet name="resource-source" sheetId="12" r:id="rId7"/>
    <sheet name="agent" sheetId="11" r:id="rId8"/>
    <sheet name="reference" sheetId="6" r:id="rId9"/>
    <sheet name="impact-category" sheetId="8" r:id="rId10"/>
    <sheet name="community-classification" sheetId="9" r:id="rId11"/>
    <sheet name="internal" sheetId="3" r:id="rId12"/>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<sst xmlns="http://schemas.openxmlformats.org/spreadsheetml/2006/main" count="338" uniqueCount="201">
  <si>
    <t>Data Capture Overview</t>
  </si>
  <si>
    <t>Identifier</t>
  </si>
  <si>
    <t>Name</t>
  </si>
  <si>
    <t>Description</t>
  </si>
  <si>
    <t>OS Reference</t>
  </si>
  <si>
    <t>OS Located Within</t>
  </si>
  <si>
    <t>Identifier Counts</t>
  </si>
  <si>
    <t>location</t>
  </si>
  <si>
    <t>Lat</t>
  </si>
  <si>
    <t>Long</t>
  </si>
  <si>
    <t>Location</t>
  </si>
  <si>
    <t>community</t>
  </si>
  <si>
    <t>impact</t>
  </si>
  <si>
    <t>Impact Category</t>
  </si>
  <si>
    <t>Reference</t>
  </si>
  <si>
    <t>Internal Reference</t>
  </si>
  <si>
    <t>location-1</t>
  </si>
  <si>
    <t>Hinkley C Main Site</t>
  </si>
  <si>
    <t>The main construction site where the development of the Hinkley C power station will take place.</t>
  </si>
  <si>
    <t>http://data.ordnancesurvey.co.uk/doc/50kGazetteer/119151</t>
  </si>
  <si>
    <t>http://data.ordnancesurvey.co.uk/doc/7000000000010701</t>
  </si>
  <si>
    <t>Comment</t>
  </si>
  <si>
    <t>May want to make this the main power station site rather than Hinkley C. The lat/long are inaccurate - they are for the main power station site.</t>
  </si>
  <si>
    <t>location-2</t>
  </si>
  <si>
    <t>Bridgwater</t>
  </si>
  <si>
    <t>The town of Bridgwater</t>
  </si>
  <si>
    <t>http://data.ordnancesurvey.co.uk/doc/50kGazetteer/32067</t>
  </si>
  <si>
    <t>http://data.ordnancesurvey.co.uk/doc/7000000000042256</t>
  </si>
  <si>
    <t>community-1</t>
  </si>
  <si>
    <t>Part Of</t>
  </si>
  <si>
    <t>OS Gazetteer</t>
  </si>
  <si>
    <t>Bridgwater Residents</t>
  </si>
  <si>
    <t>The residents of Bridgwater</t>
  </si>
  <si>
    <t>impact-1</t>
  </si>
  <si>
    <t>Impact on Library Services</t>
  </si>
  <si>
    <t>Title</t>
  </si>
  <si>
    <t>reference</t>
  </si>
  <si>
    <t>Hinkley Point C Local Impact Report</t>
  </si>
  <si>
    <t>The local impact report for the construction of the Hinkley Point C nuclear power station.</t>
  </si>
  <si>
    <t>URI</t>
  </si>
  <si>
    <t>http://www.sedgemoor.gov.uk/CHttpHandler.ashx?id=9845&amp;p=0</t>
  </si>
  <si>
    <t>Reference URI</t>
  </si>
  <si>
    <t>17.3.6.3</t>
  </si>
  <si>
    <t>During the construction phase of the development there will be added pressure on key public facilities, including static libraries. Those impacts are most likely to arise in Bridgwater and Williton due to the distribution of the construction workforce as predicted by the transport gravity model and in particular as a result of the proposed campus accommodation totalling 1510 bed-spaces. SCC considers that there will be some negative impact on Somerset libraries and does not agree with the applicant’s Environmental Assessment (ES) which considers any impact on libraries, arts and other cultural services to be negligible due to the demographic profile of the non-home based workforce – see the reference to “mainly single, male and working age – their shift patterns, and temporary nature of much of the workforce” at paragraph 9.6.149 of Chapter 9 of the ES.</t>
  </si>
  <si>
    <t>impact report</t>
  </si>
  <si>
    <t>project</t>
  </si>
  <si>
    <t>project-1</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</si>
  <si>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</si>
  <si>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</si>
  <si>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</si>
  <si>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project-2</t>
  </si>
  <si>
    <t>Cannington Bypass Construction</t>
  </si>
  <si>
    <t>The project to construct the Cannington Bypass.</t>
  </si>
  <si>
    <t>Mitigates</t>
  </si>
  <si>
    <t>Expected Start</t>
  </si>
  <si>
    <t>Expected End</t>
  </si>
  <si>
    <t>Actual Start</t>
  </si>
  <si>
    <t>Actual End</t>
  </si>
  <si>
    <t>Land Use, Legacy and Design</t>
  </si>
  <si>
    <t>impact-category</t>
  </si>
  <si>
    <t>impact-category-1</t>
  </si>
  <si>
    <t>impact-category-2</t>
  </si>
  <si>
    <t>Transport</t>
  </si>
  <si>
    <t>Housing and Market Supply</t>
  </si>
  <si>
    <t>impact-category-3</t>
  </si>
  <si>
    <t>impact-category-4</t>
  </si>
  <si>
    <t>Socio-economic Impacts</t>
  </si>
  <si>
    <t>impact-category-5</t>
  </si>
  <si>
    <t>Economic Competitiveness</t>
  </si>
  <si>
    <t>impact-category-6</t>
  </si>
  <si>
    <t>Education, Employment and Skills</t>
  </si>
  <si>
    <t>impact-category-7</t>
  </si>
  <si>
    <t>Schools Capacity</t>
  </si>
  <si>
    <t>impact-category-8</t>
  </si>
  <si>
    <t>Tourism</t>
  </si>
  <si>
    <t>impact-category-9</t>
  </si>
  <si>
    <t>impact-category-10</t>
  </si>
  <si>
    <t>Sport and Leisure</t>
  </si>
  <si>
    <t>Public Rights of Way</t>
  </si>
  <si>
    <t>impact-category-11</t>
  </si>
  <si>
    <t>Ecology</t>
  </si>
  <si>
    <t>Landscape</t>
  </si>
  <si>
    <t>Archeology and Heritage</t>
  </si>
  <si>
    <t>impact-category-12</t>
  </si>
  <si>
    <t>impact-category-13</t>
  </si>
  <si>
    <t>impact-category-14</t>
  </si>
  <si>
    <t>Coastal Change</t>
  </si>
  <si>
    <t>impact-category-15</t>
  </si>
  <si>
    <t>Flood Risk Management</t>
  </si>
  <si>
    <t>Community Cohesion, Safety and Services</t>
  </si>
  <si>
    <t>impact-category-16</t>
  </si>
  <si>
    <t>impact-category-17</t>
  </si>
  <si>
    <t>impact-category-18</t>
  </si>
  <si>
    <t>Health</t>
  </si>
  <si>
    <t>Emergency Services - Police and Fire</t>
  </si>
  <si>
    <t>Emergency Planning</t>
  </si>
  <si>
    <t>impact-category-19</t>
  </si>
  <si>
    <t>Waste</t>
  </si>
  <si>
    <t>Quality of Life and Environment</t>
  </si>
  <si>
    <t>impact-category-20</t>
  </si>
  <si>
    <t>impact-category-21</t>
  </si>
  <si>
    <t>residents</t>
  </si>
  <si>
    <t>non-residents</t>
  </si>
  <si>
    <t>The residents of some locale</t>
  </si>
  <si>
    <t>mothers and todlers</t>
  </si>
  <si>
    <t>Mothers and young children</t>
  </si>
  <si>
    <t>Classification</t>
  </si>
  <si>
    <t>Non-residents</t>
  </si>
  <si>
    <t>Impact Category Name</t>
  </si>
  <si>
    <t>Project Name</t>
  </si>
  <si>
    <t>Community Name</t>
  </si>
  <si>
    <t>Impact Of</t>
  </si>
  <si>
    <t>Impact On</t>
  </si>
  <si>
    <t xml:space="preserve">Identifier </t>
  </si>
  <si>
    <t>1.1</t>
  </si>
  <si>
    <t xml:space="preserve">A hierarchival classification of communities.  </t>
  </si>
  <si>
    <t>Identifiers should be of the form 1.2.3.4.5.  The number of dots indicates the level in the hierarchy.  The maximum number of levels is 5.</t>
  </si>
  <si>
    <t>For internal use by spreadsheet macros only.</t>
  </si>
  <si>
    <t>A flat list of impact categories.</t>
  </si>
  <si>
    <t>Press New Category to create a new category and allocate it a new identifier</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</si>
  <si>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</si>
  <si>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</si>
  <si>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</si>
  <si>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</si>
  <si>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On most sheets there is a 'new …' button.  This will create a new row for a new 'thing' and allocate an indentifier for it.</t>
  </si>
  <si>
    <t>Version</t>
  </si>
  <si>
    <t>1</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</si>
  <si>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</si>
  <si>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Impact on other community and local authority services relating to influx of construction workers and their families</t>
  </si>
  <si>
    <t xml:space="preserve">By virtue of the numbers of non-home based workers predicted to live within Somerset, especially the significant number of workers who will choose to live in Sedgemoor and West Somerset, there will be an increased demand for public services. Those new to the area are expected to draw on public services whilst familiarising themselves with their surroundings and there is also predicted to be increased incidents, including complaints, and demands for additional services (such as transport, housing, community services, safety, skills outreach, environmental health, economic development, port of Bridgwater), that the Councils would be expected to respond to. Throughout the construction phase there is anticipated to be a high level of ‘churn’ of the construction workforce with an estimated 20,000 to 25,000 workers involved during the lifetime of the project. This level of churn will result in a changing community profile throughout the construction phase, not just at the beginning. .Furthermore the worker profile is dominated by ‘short term’ contracts which has the potential to have a more acute impact on community safety, cohesion and community well-being as workers may adopt a ‘short-termism’ attitude towards their stay in Bridgwater and Somerset. This level of churn and short termism will mean that the increased requirements and demands on facilities and services will be continually repeated throughout the timeframe of the construction period. </t>
  </si>
  <si>
    <t>17.3.7</t>
  </si>
  <si>
    <t>Impact of economic inequality on community cohesion</t>
  </si>
  <si>
    <t xml:space="preserve">Community tensions can arise through economic differences between the construction workforce and existing residents. This can serve to aggravate other impacts and disturbances arising from construction activities (e.g. traffic congestion, noise, air quality). There is also potential for physical and acquisitive crime being committed against those who are seen as being disproportionately affluent. </t>
  </si>
  <si>
    <t>17.3.2</t>
  </si>
  <si>
    <t>Impact of migrant workforce on community cohesion</t>
  </si>
  <si>
    <t xml:space="preserve">Further to the disparity in earnings there is potential that cultural differences between migrant workers and the resident population could result in local community impacts and increased community tensions. </t>
  </si>
  <si>
    <t>17.3.3</t>
  </si>
  <si>
    <t>impact-2</t>
  </si>
  <si>
    <t>impact-3</t>
  </si>
  <si>
    <t>impact-4</t>
  </si>
  <si>
    <t>Classification Name</t>
  </si>
  <si>
    <t>Location Name</t>
  </si>
  <si>
    <t>Part Of Name</t>
  </si>
  <si>
    <t>Mitigates Name</t>
  </si>
  <si>
    <t>parent project name</t>
  </si>
  <si>
    <t>project-test</t>
  </si>
  <si>
    <t>Test Project</t>
  </si>
  <si>
    <t>A dummy project for testing</t>
  </si>
  <si>
    <t>test-reference</t>
  </si>
  <si>
    <t>community-test</t>
  </si>
  <si>
    <t>Test Community</t>
  </si>
  <si>
    <t>A dummy community for testing</t>
  </si>
  <si>
    <t>location-test</t>
  </si>
  <si>
    <t>Test Location</t>
  </si>
  <si>
    <t>A dummy location for testing</t>
  </si>
  <si>
    <t>impact-test</t>
  </si>
  <si>
    <t>Test Impact</t>
  </si>
  <si>
    <t>A dummy impact for testing</t>
  </si>
  <si>
    <t>test reference</t>
  </si>
  <si>
    <t>2014-04-02</t>
  </si>
  <si>
    <t>2014-04-01</t>
  </si>
  <si>
    <t>2014-05-06</t>
  </si>
  <si>
    <t>proposal</t>
  </si>
  <si>
    <t>Status</t>
  </si>
  <si>
    <t>Test Proposal</t>
  </si>
  <si>
    <t>Test Reference</t>
  </si>
  <si>
    <t>A dummy reference for testing</t>
  </si>
  <si>
    <t>http://example.org/testing</t>
  </si>
  <si>
    <t>A dummy proposal for testing</t>
  </si>
  <si>
    <t>test internal reference</t>
  </si>
  <si>
    <t>proposal-test</t>
  </si>
  <si>
    <t>proposal status values</t>
  </si>
  <si>
    <t>accepted</t>
  </si>
  <si>
    <t>rejected</t>
  </si>
  <si>
    <t>agent-test</t>
  </si>
  <si>
    <t>Test Agent</t>
  </si>
  <si>
    <t>A dummy agent for testing</t>
  </si>
  <si>
    <t>Proposed By</t>
  </si>
  <si>
    <t>Proposed By Name</t>
  </si>
  <si>
    <t>Proposed To</t>
  </si>
  <si>
    <t>Proposed To Name</t>
  </si>
  <si>
    <t>agent</t>
  </si>
  <si>
    <t>resource-source</t>
  </si>
  <si>
    <t>Test Resource Source</t>
  </si>
  <si>
    <t>A dummy resource source for testing</t>
  </si>
  <si>
    <t>resource-source-1</t>
  </si>
  <si>
    <t>resource-source-test</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</si>
  <si>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</si>
  <si>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</si>
  <si>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</si>
  <si>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</si>
  <si>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</si>
  <si>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</si>
  <si>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</si>
  <si>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</si>
  <si>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</si>
  <si>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</si>
  <si>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2099-07-08</t>
  </si>
  <si>
    <t>project-test-2</t>
  </si>
  <si>
    <t>Test Project 2</t>
  </si>
  <si>
    <t>Another dummy project for testing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</si>
</sst>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tint="-0.14996795556505021"/>
        <bgColor indexed="64"/>
      </patternFill>
    </fill>
  </fills>
  <borders count="1">
    <border>
      <left/>
      <right/>
      <top/>
      <bottom/>
      <diagonal/>
    </border>
  </borders>
  <cellStyleXfs count="1">
    <xf numFmtId="0" fontId="0" fillId="0" borderId="0"/>
  </cellStyleXfs>
  <cellXfs count="40">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0" fillId="0" borderId="0" xfId="0" applyNumberFormat="1"/>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49" fontId="0" fillId="0" borderId="0" xfId="0" applyNumberFormat="1" applyFont="1" applyFill="1" applyAlignment="1">
      <alignment vertical="top" wrapText="1"/>
    </xf>
    <xf numFmtId="49" fontId="0" fillId="0" borderId="0" xfId="0" applyNumberFormat="1" applyFont="1" applyAlignment="1" applyProtection="1">
      <alignment vertical="top" wrapText="1"/>
      <protection locked="0"/>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49" fontId="0" fillId="2" borderId="0" xfId="0" applyNumberFormat="1" applyFont="1"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171450</xdr:rowOff>
        </xdr:from>
        <xdr:to>
          <xdr:col>3</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190500</xdr:rowOff>
        </xdr:from>
        <xdr:to>
          <xdr:col>0</xdr:col>
          <xdr:colOff>1200150</xdr:colOff>
          <xdr:row>1</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
  <sheetViews>
    <sheetView workbookViewId="0">
      <selection activeCell="A10" sqref="A10"/>
    </sheetView>
  </sheetViews>
  <sheetFormatPr defaultRowHeight="15" x14ac:dyDescent="0.25"/>
  <cols>
    <col min="1" max="1" width="113.140625" style="3" customWidth="1"/>
  </cols>
  <sheetData>
    <row r="1" spans="1:1" x14ac:dyDescent="0.25">
      <c r="A1" s="2" t="s">
        <v>0</v>
      </c>
    </row>
    <row r="3" spans="1:1" ht="45" x14ac:dyDescent="0.25">
      <c r="A3" s="3" t="s">
        <v>122</v>
      </c>
    </row>
    <row r="5" spans="1:1" ht="30" x14ac:dyDescent="0.25">
      <c r="A5" s="3" t="s">
        <v>123</v>
      </c>
    </row>
    <row r="7" spans="1:1" x14ac:dyDescent="0.25">
      <c r="A7" s="3" t="s">
        <v>124</v>
      </c>
    </row>
    <row r="9" spans="1:1" ht="45" x14ac:dyDescent="0.25">
      <c r="A9" s="3" t="s">
        <v>127</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9"/>
  <sheetViews>
    <sheetView workbookViewId="0">
      <pane ySplit="3" topLeftCell="A4" activePane="bottomLeft" state="frozenSplit"/>
      <selection pane="bottomLeft" sqref="A1:XFD3"/>
    </sheetView>
  </sheetViews>
  <sheetFormatPr defaultRowHeight="15" x14ac:dyDescent="0.25"/>
  <cols>
    <col min="1" max="1" width="18.28515625" style="3" customWidth="1"/>
    <col min="2" max="2" width="8.7109375" style="3" customWidth="1"/>
    <col min="3" max="3" width="18" style="3" customWidth="1"/>
    <col min="4" max="4" width="83.140625" style="18" customWidth="1"/>
    <col min="5" max="5" width="20.28515625" style="14" customWidth="1"/>
    <col min="6" max="6" width="20.28515625" style="19" customWidth="1"/>
    <col min="7" max="7" width="12.7109375" style="14" customWidth="1"/>
    <col min="8" max="8" width="24" style="22" customWidth="1"/>
    <col min="9" max="9" width="12.7109375" style="14" customWidth="1"/>
    <col min="10" max="10" width="12.7109375" style="22" customWidth="1"/>
    <col min="11" max="11" width="17.5703125" style="14" customWidth="1"/>
    <col min="12" max="12" width="25.85546875" style="22" customWidth="1"/>
    <col min="13" max="13" width="25.5703125" style="14" customWidth="1"/>
    <col min="14" max="16384" width="9.140625" style="16"/>
  </cols>
  <sheetData>
    <row r="1" spans="1:13" x14ac:dyDescent="0.25">
      <c r="F1" s="20"/>
      <c r="H1" s="23"/>
      <c r="J1" s="23"/>
      <c r="L1" s="23"/>
    </row>
    <row r="2" spans="1:13" x14ac:dyDescent="0.25">
      <c r="F2" s="20"/>
      <c r="H2" s="23"/>
      <c r="J2" s="23"/>
      <c r="L2" s="23"/>
    </row>
    <row r="3" spans="1:13" s="4" customFormat="1" ht="34.5" customHeight="1" x14ac:dyDescent="0.25">
      <c r="A3" s="2" t="s">
        <v>1</v>
      </c>
      <c r="B3" s="2" t="s">
        <v>125</v>
      </c>
      <c r="C3" s="2" t="s">
        <v>2</v>
      </c>
      <c r="D3" s="17" t="s">
        <v>3</v>
      </c>
      <c r="E3" s="12" t="s">
        <v>13</v>
      </c>
      <c r="F3" s="21" t="s">
        <v>108</v>
      </c>
      <c r="G3" s="12" t="s">
        <v>111</v>
      </c>
      <c r="H3" s="24" t="s">
        <v>109</v>
      </c>
      <c r="I3" s="12" t="s">
        <v>112</v>
      </c>
      <c r="J3" s="24" t="s">
        <v>110</v>
      </c>
      <c r="K3" s="12" t="s">
        <v>14</v>
      </c>
      <c r="L3" s="24" t="s">
        <v>41</v>
      </c>
      <c r="M3" s="12" t="s">
        <v>15</v>
      </c>
    </row>
    <row r="4" spans="1:13" s="4" customFormat="1" ht="34.5" customHeight="1" x14ac:dyDescent="0.25">
      <c r="A4" s="2" t="s">
        <v>155</v>
      </c>
      <c r="B4" s="2"/>
      <c r="C4" s="2" t="s">
        <v>156</v>
      </c>
      <c r="D4" s="17" t="s">
        <v>157</v>
      </c>
      <c r="E4" s="12" t="s">
        <v>60</v>
      </c>
      <c r="F4" s="21" t="s">
        <v>58</v>
      </c>
      <c r="G4" s="12" t="s">
        <v>46</v>
      </c>
      <c r="H4" s="24" t="s">
        <v>48</v>
      </c>
      <c r="I4" s="12" t="s">
        <v>149</v>
      </c>
      <c r="J4" s="24" t="s">
        <v>150</v>
      </c>
      <c r="K4" s="12" t="s">
        <v>44</v>
      </c>
      <c r="L4" s="24" t="s">
        <v>40</v>
      </c>
      <c r="M4" s="12" t="s">
        <v>158</v>
      </c>
    </row>
    <row r="5" spans="1:13" ht="161.25" customHeight="1" x14ac:dyDescent="0.25">
      <c r="A5" s="3" t="s">
        <v>33</v>
      </c>
      <c r="C5" s="3" t="s">
        <v>34</v>
      </c>
      <c r="D5" s="18" t="s">
        <v>43</v>
      </c>
      <c r="E5" s="14" t="s">
        <v>90</v>
      </c>
      <c r="F5" s="19" t="s">
        <v>89</v>
      </c>
      <c r="G5" s="14" t="s">
        <v>46</v>
      </c>
      <c r="H5" s="22" t="s">
        <v>48</v>
      </c>
      <c r="I5" s="14" t="s">
        <v>28</v>
      </c>
      <c r="J5" s="22" t="s">
        <v>31</v>
      </c>
      <c r="K5" s="14" t="s">
        <v>44</v>
      </c>
      <c r="L5" s="19" t="s">
        <v>40</v>
      </c>
      <c r="M5" s="14" t="s">
        <v>42</v>
      </c>
    </row>
    <row r="6" spans="1:13" ht="156" customHeight="1" x14ac:dyDescent="0.25">
      <c r="A6" s="3" t="s">
        <v>33</v>
      </c>
      <c r="B6" s="3" t="s">
        <v>126</v>
      </c>
      <c r="C6" s="3" t="s">
        <v>34</v>
      </c>
      <c r="D6" s="18" t="s">
        <v>43</v>
      </c>
      <c r="E6" s="14" t="s">
        <v>90</v>
      </c>
      <c r="F6" s="19" t="s">
        <v>89</v>
      </c>
      <c r="G6" s="14" t="s">
        <v>46</v>
      </c>
      <c r="H6" s="22" t="s">
        <v>48</v>
      </c>
      <c r="I6" s="14" t="s">
        <v>28</v>
      </c>
      <c r="J6" s="22" t="s">
        <v>31</v>
      </c>
      <c r="K6" s="14" t="s">
        <v>44</v>
      </c>
      <c r="L6" s="19" t="s">
        <v>40</v>
      </c>
      <c r="M6" s="14" t="s">
        <v>42</v>
      </c>
    </row>
    <row r="7" spans="1:13" ht="255.75" customHeight="1" x14ac:dyDescent="0.25">
      <c r="A7" s="3" t="s">
        <v>137</v>
      </c>
      <c r="C7" s="3" t="s">
        <v>128</v>
      </c>
      <c r="D7" s="18" t="s">
        <v>129</v>
      </c>
      <c r="E7" s="14" t="s">
        <v>90</v>
      </c>
      <c r="F7" s="19" t="s">
        <v>89</v>
      </c>
      <c r="G7" s="14" t="s">
        <v>46</v>
      </c>
      <c r="H7" s="22" t="s">
        <v>48</v>
      </c>
      <c r="I7" s="14" t="s">
        <v>28</v>
      </c>
      <c r="J7" s="22" t="s">
        <v>31</v>
      </c>
      <c r="K7" s="14" t="s">
        <v>44</v>
      </c>
      <c r="L7" s="22" t="s">
        <v>40</v>
      </c>
      <c r="M7" s="14" t="s">
        <v>130</v>
      </c>
    </row>
    <row r="8" spans="1:13" ht="75" x14ac:dyDescent="0.25">
      <c r="A8" s="3" t="s">
        <v>138</v>
      </c>
      <c r="C8" s="3" t="s">
        <v>131</v>
      </c>
      <c r="D8" s="18" t="s">
        <v>132</v>
      </c>
      <c r="E8" s="14" t="s">
        <v>90</v>
      </c>
      <c r="F8" s="19" t="s">
        <v>89</v>
      </c>
      <c r="G8" s="14" t="s">
        <v>46</v>
      </c>
      <c r="H8" s="22" t="s">
        <v>48</v>
      </c>
      <c r="I8" s="14" t="s">
        <v>28</v>
      </c>
      <c r="J8" s="22" t="s">
        <v>31</v>
      </c>
      <c r="K8" s="14" t="s">
        <v>44</v>
      </c>
      <c r="L8" s="22" t="s">
        <v>40</v>
      </c>
      <c r="M8" s="14" t="s">
        <v>133</v>
      </c>
    </row>
    <row r="9" spans="1:13" ht="60" x14ac:dyDescent="0.25">
      <c r="A9" s="3" t="s">
        <v>139</v>
      </c>
      <c r="C9" s="3" t="s">
        <v>134</v>
      </c>
      <c r="D9" s="18" t="s">
        <v>135</v>
      </c>
      <c r="E9" s="14" t="s">
        <v>90</v>
      </c>
      <c r="F9" s="19" t="s">
        <v>89</v>
      </c>
      <c r="G9" s="14" t="s">
        <v>46</v>
      </c>
      <c r="H9" s="22" t="s">
        <v>48</v>
      </c>
      <c r="I9" s="14" t="s">
        <v>28</v>
      </c>
      <c r="J9" s="22" t="s">
        <v>31</v>
      </c>
      <c r="K9" s="14" t="s">
        <v>44</v>
      </c>
      <c r="L9" s="22" t="s">
        <v>40</v>
      </c>
      <c r="M9" s="14" t="s">
        <v>136</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3</xdr:col>
                    <xdr:colOff>19050</xdr:colOff>
                    <xdr:row>0</xdr:row>
                    <xdr:rowOff>171450</xdr:rowOff>
                  </from>
                  <to>
                    <xdr:col>3</xdr:col>
                    <xdr:colOff>1476375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
  <sheetViews>
    <sheetView workbookViewId="0">
      <pane ySplit="3" topLeftCell="A4" activePane="bottomLeft" state="frozenSplit"/>
      <selection pane="bottomLeft" activeCell="H5" sqref="H5"/>
    </sheetView>
  </sheetViews>
  <sheetFormatPr defaultRowHeight="15" x14ac:dyDescent="0.25"/>
  <cols>
    <col min="1" max="1" width="21.5703125" style="14" customWidth="1"/>
    <col min="2" max="2" width="21.85546875" style="14" customWidth="1"/>
    <col min="3" max="4" width="27.5703125" style="14" customWidth="1"/>
    <col min="5" max="5" width="15.140625" style="22" customWidth="1"/>
    <col min="6" max="6" width="13.140625" style="14" customWidth="1"/>
    <col min="7" max="7" width="22.28515625" style="22" customWidth="1"/>
    <col min="8" max="8" width="14.5703125" style="14" customWidth="1"/>
    <col min="9" max="9" width="15.28515625" style="14" customWidth="1"/>
  </cols>
  <sheetData>
    <row r="1" spans="1:9" x14ac:dyDescent="0.25">
      <c r="E1" s="23"/>
      <c r="G1" s="23"/>
    </row>
    <row r="2" spans="1:9" x14ac:dyDescent="0.25">
      <c r="E2" s="23"/>
      <c r="G2" s="23"/>
    </row>
    <row r="3" spans="1:9" s="1" customFormat="1" ht="26.25" customHeight="1" x14ac:dyDescent="0.25">
      <c r="A3" s="12" t="s">
        <v>1</v>
      </c>
      <c r="B3" s="12" t="s">
        <v>2</v>
      </c>
      <c r="C3" s="12" t="s">
        <v>3</v>
      </c>
      <c r="D3" s="12" t="s">
        <v>10</v>
      </c>
      <c r="E3" s="24" t="s">
        <v>141</v>
      </c>
      <c r="F3" s="12" t="s">
        <v>106</v>
      </c>
      <c r="G3" s="24" t="s">
        <v>140</v>
      </c>
      <c r="H3" s="12" t="s">
        <v>29</v>
      </c>
      <c r="I3" s="12" t="s">
        <v>142</v>
      </c>
    </row>
    <row r="4" spans="1:9" s="1" customFormat="1" ht="30" customHeight="1" x14ac:dyDescent="0.25">
      <c r="A4" s="12" t="s">
        <v>149</v>
      </c>
      <c r="B4" s="12" t="s">
        <v>150</v>
      </c>
      <c r="C4" s="12" t="s">
        <v>151</v>
      </c>
      <c r="D4" s="12" t="s">
        <v>152</v>
      </c>
      <c r="E4" s="24" t="s">
        <v>153</v>
      </c>
      <c r="F4" s="12">
        <v>1</v>
      </c>
      <c r="G4" s="24" t="s">
        <v>101</v>
      </c>
      <c r="H4" s="12" t="s">
        <v>149</v>
      </c>
      <c r="I4" s="12" t="s">
        <v>150</v>
      </c>
    </row>
    <row r="5" spans="1:9" x14ac:dyDescent="0.25">
      <c r="A5" s="14" t="s">
        <v>28</v>
      </c>
      <c r="B5" s="14" t="s">
        <v>31</v>
      </c>
      <c r="C5" s="14" t="s">
        <v>32</v>
      </c>
      <c r="D5" s="14" t="s">
        <v>23</v>
      </c>
      <c r="E5" s="22" t="s">
        <v>24</v>
      </c>
      <c r="F5" s="14">
        <v>1</v>
      </c>
      <c r="G5" s="22" t="s">
        <v>101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I11"/>
  <sheetViews>
    <sheetView zoomScaleNormal="100" workbookViewId="0">
      <pane ySplit="3" topLeftCell="A4" activePane="bottomLeft" state="frozenSplit"/>
      <selection pane="bottomLeft" sqref="A1:XFD3"/>
    </sheetView>
  </sheetViews>
  <sheetFormatPr defaultRowHeight="15" x14ac:dyDescent="0.25"/>
  <cols>
    <col min="1" max="1" width="15" style="3" customWidth="1"/>
    <col min="2" max="2" width="21.5703125" style="3" customWidth="1"/>
    <col min="3" max="3" width="35.5703125" style="3" customWidth="1"/>
    <col min="4" max="5" width="19.85546875" style="10" customWidth="1"/>
    <col min="6" max="6" width="20" style="11" customWidth="1"/>
    <col min="7" max="8" width="10.7109375" style="7" customWidth="1"/>
    <col min="9" max="9" width="64.85546875" customWidth="1"/>
  </cols>
  <sheetData>
    <row r="3" spans="1:9" s="1" customFormat="1" ht="13.5" customHeight="1" x14ac:dyDescent="0.25">
      <c r="A3" s="2" t="s">
        <v>1</v>
      </c>
      <c r="B3" s="2" t="s">
        <v>2</v>
      </c>
      <c r="C3" s="2" t="s">
        <v>3</v>
      </c>
      <c r="D3" s="8" t="s">
        <v>30</v>
      </c>
      <c r="E3" s="8" t="s">
        <v>4</v>
      </c>
      <c r="F3" s="9" t="s">
        <v>5</v>
      </c>
      <c r="G3" s="6" t="s">
        <v>8</v>
      </c>
      <c r="H3" s="6" t="s">
        <v>9</v>
      </c>
      <c r="I3" s="1" t="s">
        <v>21</v>
      </c>
    </row>
    <row r="4" spans="1:9" s="1" customFormat="1" ht="48.75" customHeight="1" x14ac:dyDescent="0.25">
      <c r="A4" s="2" t="s">
        <v>152</v>
      </c>
      <c r="B4" s="2" t="s">
        <v>153</v>
      </c>
      <c r="C4" s="2" t="s">
        <v>154</v>
      </c>
      <c r="D4" s="10" t="s">
        <v>26</v>
      </c>
      <c r="E4" s="10" t="s">
        <v>27</v>
      </c>
      <c r="F4" s="10" t="s">
        <v>20</v>
      </c>
      <c r="G4" s="7">
        <v>51.207391000000001</v>
      </c>
      <c r="H4" s="7">
        <v>-2.994224</v>
      </c>
    </row>
    <row r="5" spans="1:9" ht="45" x14ac:dyDescent="0.25">
      <c r="A5" s="3" t="s">
        <v>16</v>
      </c>
      <c r="B5" s="3" t="s">
        <v>17</v>
      </c>
      <c r="C5" s="3" t="s">
        <v>18</v>
      </c>
      <c r="D5" s="10" t="s">
        <v>19</v>
      </c>
      <c r="F5" s="10" t="s">
        <v>20</v>
      </c>
      <c r="G5" s="7">
        <v>51.207391000000001</v>
      </c>
      <c r="H5" s="7">
        <v>-3.131564</v>
      </c>
      <c r="I5" s="3" t="s">
        <v>22</v>
      </c>
    </row>
    <row r="6" spans="1:9" ht="49.5" customHeight="1" x14ac:dyDescent="0.25">
      <c r="A6" s="3" t="s">
        <v>23</v>
      </c>
      <c r="B6" s="3" t="s">
        <v>24</v>
      </c>
      <c r="C6" s="3" t="s">
        <v>25</v>
      </c>
      <c r="D6" s="10" t="s">
        <v>26</v>
      </c>
      <c r="E6" s="10" t="s">
        <v>27</v>
      </c>
      <c r="G6" s="7">
        <v>51.131936000000003</v>
      </c>
      <c r="H6" s="7">
        <v>-2.994224</v>
      </c>
      <c r="I6" s="5"/>
    </row>
    <row r="11" spans="1:9" ht="15" customHeight="1" x14ac:dyDescent="0.25"/>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7"/>
  <sheetViews>
    <sheetView tabSelected="1" workbookViewId="0">
      <selection activeCell="S5" sqref="S5"/>
    </sheetView>
  </sheetViews>
  <sheetFormatPr defaultRowHeight="15" x14ac:dyDescent="0.25"/>
  <cols>
    <col min="1" max="1" width="15.85546875" style="14" customWidth="1"/>
    <col min="2" max="2" width="28" style="14" customWidth="1"/>
    <col min="3" max="3" width="52.7109375" style="14" customWidth="1"/>
    <col min="4" max="4" width="15.5703125" style="14" customWidth="1"/>
    <col min="5" max="5" width="18.7109375" style="22" customWidth="1"/>
    <col min="6" max="7" width="18.7109375" style="14" customWidth="1"/>
    <col min="8" max="8" width="18.7109375" style="22" customWidth="1"/>
    <col min="9" max="9" width="19.28515625" style="14" customWidth="1"/>
    <col min="10" max="10" width="19.28515625" style="22" customWidth="1"/>
    <col min="11" max="14" width="19.28515625" style="15" customWidth="1"/>
    <col min="15" max="15" width="16.42578125" style="14" customWidth="1"/>
    <col min="16" max="16" width="18.7109375" style="22" customWidth="1"/>
    <col min="17" max="17" width="18.7109375" style="23" customWidth="1"/>
    <col min="18" max="18" width="18.7109375" style="22" customWidth="1"/>
    <col min="19" max="19" width="18.7109375" style="23" customWidth="1"/>
    <col min="20" max="20" width="18.7109375" style="22" customWidth="1"/>
    <col min="21" max="21" width="45.42578125" style="14" customWidth="1"/>
  </cols>
  <sheetData>
    <row r="1" spans="1:25" x14ac:dyDescent="0.25">
      <c r="A1" s="3"/>
      <c r="B1" s="3"/>
      <c r="C1" s="3"/>
      <c r="D1" s="3"/>
      <c r="E1" s="20"/>
      <c r="F1" s="3"/>
      <c r="G1" s="3"/>
      <c r="H1" s="20"/>
      <c r="I1" s="3"/>
      <c r="J1" s="20"/>
      <c r="K1" s="3"/>
      <c r="L1" s="3"/>
      <c r="M1" s="3"/>
      <c r="N1" s="3"/>
      <c r="O1" s="3"/>
      <c r="P1" s="20"/>
      <c r="Q1" s="20"/>
      <c r="R1" s="20"/>
      <c r="S1" s="20"/>
      <c r="T1" s="20"/>
      <c r="U1" s="10"/>
      <c r="V1" s="10"/>
      <c r="W1" s="11"/>
      <c r="X1" s="7"/>
      <c r="Y1" s="7"/>
    </row>
    <row r="2" spans="1:25" x14ac:dyDescent="0.25">
      <c r="A2" s="3"/>
      <c r="B2" s="3"/>
      <c r="C2" s="3"/>
      <c r="D2" s="3"/>
      <c r="E2" s="20"/>
      <c r="F2" s="3"/>
      <c r="G2" s="3"/>
      <c r="H2" s="20"/>
      <c r="I2" s="3"/>
      <c r="J2" s="20"/>
      <c r="K2" s="3"/>
      <c r="L2" s="3"/>
      <c r="M2" s="3"/>
      <c r="N2" s="3"/>
      <c r="O2" s="3"/>
      <c r="P2" s="20"/>
      <c r="Q2" s="20"/>
      <c r="R2" s="20"/>
      <c r="S2" s="20"/>
      <c r="T2" s="20"/>
      <c r="U2" s="10"/>
      <c r="V2" s="10"/>
      <c r="W2" s="11"/>
      <c r="X2" s="7"/>
      <c r="Y2" s="7"/>
    </row>
    <row r="3" spans="1:25" s="1" customFormat="1" ht="32.25" customHeight="1" x14ac:dyDescent="0.25">
      <c r="A3" s="2" t="s">
        <v>1</v>
      </c>
      <c r="B3" s="2" t="s">
        <v>2</v>
      </c>
      <c r="C3" s="2" t="s">
        <v>3</v>
      </c>
      <c r="D3" s="12" t="s">
        <v>14</v>
      </c>
      <c r="E3" s="24" t="s">
        <v>41</v>
      </c>
      <c r="F3" s="12" t="s">
        <v>15</v>
      </c>
      <c r="G3" s="12" t="s">
        <v>191</v>
      </c>
      <c r="H3" s="24" t="s">
        <v>192</v>
      </c>
      <c r="I3" s="2" t="s">
        <v>53</v>
      </c>
      <c r="J3" s="25" t="s">
        <v>143</v>
      </c>
      <c r="K3" s="2" t="s">
        <v>54</v>
      </c>
      <c r="L3" s="2" t="s">
        <v>55</v>
      </c>
      <c r="M3" s="2" t="s">
        <v>56</v>
      </c>
      <c r="N3" s="2" t="s">
        <v>57</v>
      </c>
      <c r="O3" s="2" t="s">
        <v>49</v>
      </c>
      <c r="P3" s="25" t="s">
        <v>144</v>
      </c>
      <c r="Q3" s="25" t="s">
        <v>193</v>
      </c>
      <c r="R3" s="25" t="s">
        <v>194</v>
      </c>
      <c r="S3" s="25" t="s">
        <v>195</v>
      </c>
      <c r="T3" s="25" t="s">
        <v>196</v>
      </c>
      <c r="U3" s="8" t="s">
        <v>21</v>
      </c>
      <c r="V3" s="8"/>
      <c r="W3" s="9"/>
      <c r="X3" s="6"/>
      <c r="Y3" s="6"/>
    </row>
    <row r="4" spans="1:25" s="32" customFormat="1" ht="32.25" customHeight="1" x14ac:dyDescent="0.25">
      <c r="A4" s="26" t="s">
        <v>145</v>
      </c>
      <c r="B4" s="26" t="s">
        <v>146</v>
      </c>
      <c r="C4" s="26" t="s">
        <v>147</v>
      </c>
      <c r="D4" s="27" t="s">
        <v>44</v>
      </c>
      <c r="E4" s="38" t="s">
        <v>40</v>
      </c>
      <c r="F4" s="27" t="s">
        <v>148</v>
      </c>
      <c r="G4" s="27" t="s">
        <v>170</v>
      </c>
      <c r="H4" s="38" t="s">
        <v>164</v>
      </c>
      <c r="I4" s="26" t="s">
        <v>155</v>
      </c>
      <c r="J4" s="39" t="s">
        <v>156</v>
      </c>
      <c r="K4" s="26" t="s">
        <v>160</v>
      </c>
      <c r="L4" s="26" t="s">
        <v>159</v>
      </c>
      <c r="M4" s="26" t="s">
        <v>161</v>
      </c>
      <c r="N4" s="26" t="s">
        <v>197</v>
      </c>
      <c r="O4" s="26" t="s">
        <v>145</v>
      </c>
      <c r="P4" s="39" t="s">
        <v>146</v>
      </c>
      <c r="Q4" s="28" t="s">
        <v>186</v>
      </c>
      <c r="R4" s="39" t="s">
        <v>183</v>
      </c>
      <c r="S4" s="28" t="s">
        <v>186</v>
      </c>
      <c r="T4" s="39" t="s">
        <v>183</v>
      </c>
      <c r="U4" s="29"/>
      <c r="V4" s="29"/>
      <c r="W4" s="30"/>
      <c r="X4" s="31"/>
      <c r="Y4" s="31"/>
    </row>
    <row r="5" spans="1:25" s="32" customFormat="1" ht="32.25" customHeight="1" x14ac:dyDescent="0.25">
      <c r="A5" s="26" t="s">
        <v>198</v>
      </c>
      <c r="B5" s="26" t="s">
        <v>199</v>
      </c>
      <c r="C5" s="26" t="s">
        <v>200</v>
      </c>
      <c r="D5" s="27" t="s">
        <v>158</v>
      </c>
      <c r="E5" s="38" t="s">
        <v>167</v>
      </c>
      <c r="F5" s="27"/>
      <c r="G5" s="27" t="s">
        <v>170</v>
      </c>
      <c r="H5" s="38" t="s">
        <v>164</v>
      </c>
      <c r="I5" s="26" t="s">
        <v>155</v>
      </c>
      <c r="J5" s="39" t="s">
        <v>156</v>
      </c>
      <c r="K5" s="26"/>
      <c r="L5" s="26"/>
      <c r="M5" s="26"/>
      <c r="N5" s="26"/>
      <c r="O5" s="26"/>
      <c r="P5" s="39"/>
      <c r="Q5" s="28" t="s">
        <v>186</v>
      </c>
      <c r="R5" s="39" t="s">
        <v>183</v>
      </c>
      <c r="S5" s="28"/>
      <c r="T5" s="39"/>
      <c r="U5" s="29"/>
      <c r="V5" s="29"/>
      <c r="W5" s="30"/>
      <c r="X5" s="31"/>
      <c r="Y5" s="31"/>
    </row>
    <row r="6" spans="1:25" ht="60" x14ac:dyDescent="0.25">
      <c r="A6" s="14" t="s">
        <v>46</v>
      </c>
      <c r="B6" s="14" t="s">
        <v>48</v>
      </c>
      <c r="C6" s="14" t="s">
        <v>47</v>
      </c>
      <c r="S6" s="23" t="s">
        <v>185</v>
      </c>
      <c r="T6" s="22" t="s">
        <v>187</v>
      </c>
    </row>
    <row r="7" spans="1:25" ht="60" x14ac:dyDescent="0.25">
      <c r="A7" s="14" t="s">
        <v>50</v>
      </c>
      <c r="B7" s="14" t="s">
        <v>51</v>
      </c>
      <c r="C7" s="14" t="s">
        <v>52</v>
      </c>
      <c r="O7" s="14" t="s">
        <v>46</v>
      </c>
      <c r="P7" s="22" t="s">
        <v>48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4"/>
  <sheetViews>
    <sheetView workbookViewId="0">
      <pane ySplit="3" topLeftCell="A4" activePane="bottomLeft" state="frozenSplit"/>
      <selection pane="bottomLeft" activeCell="K5" sqref="K5"/>
    </sheetView>
  </sheetViews>
  <sheetFormatPr defaultRowHeight="15" x14ac:dyDescent="0.25"/>
  <cols>
    <col min="1" max="1" width="19.28515625" style="14" customWidth="1"/>
    <col min="2" max="2" width="19.42578125" style="14" customWidth="1"/>
    <col min="3" max="3" width="19.28515625" style="14" customWidth="1"/>
    <col min="4" max="4" width="18.28515625" style="14" customWidth="1"/>
    <col min="5" max="5" width="20.140625" style="22" customWidth="1"/>
    <col min="6" max="7" width="18.5703125" style="14" customWidth="1"/>
    <col min="8" max="8" width="18.5703125" style="22" customWidth="1"/>
    <col min="9" max="9" width="18.5703125" style="23" customWidth="1"/>
    <col min="10" max="10" width="18.5703125" style="22" customWidth="1"/>
    <col min="11" max="11" width="18.5703125" style="23" customWidth="1"/>
    <col min="12" max="12" width="18.5703125" style="22" customWidth="1"/>
    <col min="13" max="13" width="19.140625" style="14" customWidth="1"/>
    <col min="14" max="14" width="19.140625" style="22" customWidth="1"/>
    <col min="15" max="15" width="16.85546875" style="14" customWidth="1"/>
    <col min="16" max="16" width="44.42578125" style="14" customWidth="1"/>
    <col min="17" max="16384" width="9.140625" style="14"/>
  </cols>
  <sheetData>
    <row r="1" spans="1:16" x14ac:dyDescent="0.25">
      <c r="A1" s="3"/>
      <c r="B1" s="3"/>
      <c r="C1" s="3"/>
      <c r="D1" s="10"/>
      <c r="E1" s="37"/>
      <c r="F1" s="10"/>
      <c r="G1" s="10"/>
      <c r="H1" s="37"/>
      <c r="I1" s="37"/>
      <c r="J1" s="37"/>
      <c r="K1" s="37"/>
      <c r="L1" s="37"/>
      <c r="M1" s="33"/>
      <c r="N1" s="35"/>
      <c r="O1" s="33"/>
    </row>
    <row r="2" spans="1:16" x14ac:dyDescent="0.25">
      <c r="A2" s="3"/>
      <c r="B2" s="3"/>
      <c r="C2" s="3"/>
      <c r="D2" s="10"/>
      <c r="E2" s="37"/>
      <c r="F2" s="10"/>
      <c r="G2" s="10"/>
      <c r="H2" s="37"/>
      <c r="I2" s="37"/>
      <c r="J2" s="37"/>
      <c r="K2" s="37"/>
      <c r="L2" s="37"/>
      <c r="M2" s="33"/>
      <c r="N2" s="35"/>
      <c r="O2" s="33"/>
    </row>
    <row r="3" spans="1:16" s="12" customFormat="1" ht="32.25" customHeight="1" x14ac:dyDescent="0.25">
      <c r="A3" s="2" t="s">
        <v>1</v>
      </c>
      <c r="B3" s="2" t="s">
        <v>2</v>
      </c>
      <c r="C3" s="2" t="s">
        <v>3</v>
      </c>
      <c r="D3" s="12" t="s">
        <v>14</v>
      </c>
      <c r="E3" s="24" t="s">
        <v>41</v>
      </c>
      <c r="F3" s="12" t="s">
        <v>15</v>
      </c>
      <c r="G3" s="12" t="s">
        <v>177</v>
      </c>
      <c r="H3" s="24" t="s">
        <v>178</v>
      </c>
      <c r="I3" s="24" t="s">
        <v>179</v>
      </c>
      <c r="J3" s="24" t="s">
        <v>180</v>
      </c>
      <c r="K3" s="24" t="s">
        <v>189</v>
      </c>
      <c r="L3" s="24" t="s">
        <v>190</v>
      </c>
      <c r="M3" s="34" t="s">
        <v>53</v>
      </c>
      <c r="N3" s="36" t="s">
        <v>143</v>
      </c>
      <c r="O3" s="34" t="s">
        <v>163</v>
      </c>
      <c r="P3" s="12" t="s">
        <v>21</v>
      </c>
    </row>
    <row r="4" spans="1:16" ht="30" x14ac:dyDescent="0.25">
      <c r="A4" s="14" t="s">
        <v>170</v>
      </c>
      <c r="B4" s="14" t="s">
        <v>164</v>
      </c>
      <c r="C4" s="14" t="s">
        <v>168</v>
      </c>
      <c r="D4" s="14" t="s">
        <v>158</v>
      </c>
      <c r="E4" s="22" t="s">
        <v>167</v>
      </c>
      <c r="F4" s="14" t="s">
        <v>169</v>
      </c>
      <c r="G4" s="14" t="s">
        <v>174</v>
      </c>
      <c r="H4" s="22" t="s">
        <v>175</v>
      </c>
      <c r="I4" s="23" t="s">
        <v>174</v>
      </c>
      <c r="J4" s="22" t="s">
        <v>175</v>
      </c>
      <c r="K4" s="23" t="s">
        <v>186</v>
      </c>
      <c r="L4" s="22" t="s">
        <v>183</v>
      </c>
      <c r="M4" s="14" t="s">
        <v>155</v>
      </c>
      <c r="N4" s="22" t="s">
        <v>156</v>
      </c>
      <c r="O4" s="14" t="s">
        <v>172</v>
      </c>
    </row>
  </sheetData>
  <dataValidations count="1">
    <dataValidation type="list" allowBlank="1" showInputMessage="1" showErrorMessage="1" sqref="O1:O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5"/>
  <sheetViews>
    <sheetView workbookViewId="0">
      <selection activeCell="B22" sqref="B22"/>
    </sheetView>
  </sheetViews>
  <sheetFormatPr defaultRowHeight="15" x14ac:dyDescent="0.25"/>
  <cols>
    <col min="1" max="1" width="22.42578125" style="14" customWidth="1"/>
    <col min="2" max="2" width="27.28515625" style="14" customWidth="1"/>
    <col min="3" max="3" width="45.5703125" style="14" customWidth="1"/>
    <col min="4" max="16384" width="9.140625" style="14"/>
  </cols>
  <sheetData>
    <row r="1" spans="1:11" x14ac:dyDescent="0.25">
      <c r="A1" s="3"/>
      <c r="B1" s="3"/>
      <c r="C1" s="18"/>
      <c r="E1" s="20"/>
      <c r="G1" s="23"/>
      <c r="I1" s="23"/>
      <c r="K1" s="23"/>
    </row>
    <row r="2" spans="1:11" x14ac:dyDescent="0.25">
      <c r="A2" s="3"/>
      <c r="B2" s="3"/>
      <c r="C2" s="18"/>
      <c r="E2" s="20"/>
      <c r="G2" s="23"/>
      <c r="I2" s="23"/>
      <c r="K2" s="23"/>
    </row>
    <row r="3" spans="1:11" s="12" customFormat="1" ht="34.5" customHeight="1" x14ac:dyDescent="0.25">
      <c r="A3" s="2" t="s">
        <v>1</v>
      </c>
      <c r="B3" s="2" t="s">
        <v>2</v>
      </c>
      <c r="C3" s="17" t="s">
        <v>3</v>
      </c>
      <c r="E3" s="25"/>
      <c r="G3" s="24"/>
      <c r="I3" s="24"/>
      <c r="K3" s="24"/>
    </row>
    <row r="4" spans="1:11" ht="30" x14ac:dyDescent="0.25">
      <c r="A4" s="14" t="s">
        <v>186</v>
      </c>
      <c r="B4" s="14" t="s">
        <v>183</v>
      </c>
      <c r="C4" s="14" t="s">
        <v>184</v>
      </c>
    </row>
    <row r="5" spans="1:11" ht="48" customHeight="1" x14ac:dyDescent="0.25">
      <c r="A5" s="14" t="s">
        <v>185</v>
      </c>
      <c r="B5" s="14" t="s">
        <v>187</v>
      </c>
      <c r="C5" s="14" t="s">
        <v>188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4"/>
  <sheetViews>
    <sheetView workbookViewId="0">
      <selection activeCell="L19" sqref="L19"/>
    </sheetView>
  </sheetViews>
  <sheetFormatPr defaultRowHeight="15" x14ac:dyDescent="0.25"/>
  <cols>
    <col min="1" max="1" width="16.42578125" style="14" customWidth="1"/>
    <col min="2" max="2" width="14.42578125" style="14" customWidth="1"/>
    <col min="3" max="3" width="26.140625" style="14" customWidth="1"/>
    <col min="4" max="16384" width="9.140625" style="14"/>
  </cols>
  <sheetData>
    <row r="1" spans="1:11" x14ac:dyDescent="0.25">
      <c r="A1" s="3"/>
      <c r="B1" s="3"/>
      <c r="C1" s="18"/>
      <c r="E1" s="20"/>
      <c r="G1" s="23"/>
      <c r="I1" s="23"/>
      <c r="K1" s="23"/>
    </row>
    <row r="2" spans="1:11" x14ac:dyDescent="0.25">
      <c r="A2" s="3"/>
      <c r="B2" s="3"/>
      <c r="C2" s="18"/>
      <c r="E2" s="20"/>
      <c r="G2" s="23"/>
      <c r="I2" s="23"/>
      <c r="K2" s="23"/>
    </row>
    <row r="3" spans="1:11" s="12" customFormat="1" ht="34.5" customHeight="1" x14ac:dyDescent="0.25">
      <c r="A3" s="2" t="s">
        <v>1</v>
      </c>
      <c r="B3" s="2" t="s">
        <v>2</v>
      </c>
      <c r="C3" s="17" t="s">
        <v>3</v>
      </c>
      <c r="E3" s="25"/>
      <c r="G3" s="24"/>
      <c r="I3" s="24"/>
      <c r="K3" s="24"/>
    </row>
    <row r="4" spans="1:11" ht="30" x14ac:dyDescent="0.25">
      <c r="A4" s="14" t="s">
        <v>174</v>
      </c>
      <c r="B4" s="14" t="s">
        <v>175</v>
      </c>
      <c r="C4" s="14" t="s">
        <v>176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7" r:id="rId3"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4"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5"/>
  <sheetViews>
    <sheetView workbookViewId="0">
      <pane ySplit="3" topLeftCell="A4" activePane="bottomLeft" state="frozenSplit"/>
      <selection pane="bottomLeft" activeCell="B13" sqref="A13:B13"/>
    </sheetView>
  </sheetViews>
  <sheetFormatPr defaultRowHeight="15" x14ac:dyDescent="0.25"/>
  <cols>
    <col min="1" max="1" width="14.7109375" customWidth="1"/>
    <col min="2" max="2" width="26" customWidth="1"/>
    <col min="3" max="4" width="30" customWidth="1"/>
    <col min="5" max="5" width="45.5703125" customWidth="1"/>
    <col min="6" max="6" width="63.85546875" customWidth="1"/>
  </cols>
  <sheetData>
    <row r="1" spans="1:10" x14ac:dyDescent="0.25">
      <c r="A1" s="3"/>
      <c r="B1" s="3"/>
      <c r="C1" s="3"/>
      <c r="D1" s="3"/>
      <c r="E1" s="10"/>
      <c r="F1" s="10" t="s">
        <v>120</v>
      </c>
      <c r="G1" s="11"/>
      <c r="H1" s="7"/>
      <c r="I1" s="7"/>
    </row>
    <row r="2" spans="1:10" ht="30" x14ac:dyDescent="0.25">
      <c r="A2" s="3"/>
      <c r="B2" s="3"/>
      <c r="C2" s="3"/>
      <c r="D2" s="3"/>
      <c r="E2" s="10"/>
      <c r="F2" s="10" t="s">
        <v>121</v>
      </c>
      <c r="G2" s="11"/>
      <c r="H2" s="7"/>
      <c r="I2" s="7"/>
    </row>
    <row r="3" spans="1:10" s="1" customFormat="1" ht="13.5" customHeight="1" x14ac:dyDescent="0.25">
      <c r="A3" s="2" t="s">
        <v>1</v>
      </c>
      <c r="B3" s="2" t="s">
        <v>35</v>
      </c>
      <c r="C3" s="2" t="s">
        <v>3</v>
      </c>
      <c r="D3" s="2" t="s">
        <v>39</v>
      </c>
      <c r="E3" s="8" t="s">
        <v>21</v>
      </c>
      <c r="F3" s="8"/>
      <c r="G3" s="9"/>
      <c r="H3" s="6"/>
      <c r="I3" s="6"/>
    </row>
    <row r="4" spans="1:10" s="32" customFormat="1" ht="13.5" customHeight="1" x14ac:dyDescent="0.25">
      <c r="A4" s="26" t="s">
        <v>158</v>
      </c>
      <c r="B4" s="26" t="s">
        <v>165</v>
      </c>
      <c r="C4" s="26" t="s">
        <v>166</v>
      </c>
      <c r="D4" s="26" t="s">
        <v>167</v>
      </c>
      <c r="E4" s="29"/>
      <c r="F4" s="29"/>
      <c r="G4" s="30"/>
      <c r="H4" s="31"/>
      <c r="I4" s="31"/>
    </row>
    <row r="5" spans="1:10" ht="45" x14ac:dyDescent="0.25">
      <c r="A5" s="3" t="s">
        <v>44</v>
      </c>
      <c r="B5" s="3" t="s">
        <v>37</v>
      </c>
      <c r="C5" s="3" t="s">
        <v>38</v>
      </c>
      <c r="D5" s="3" t="s">
        <v>40</v>
      </c>
      <c r="E5" s="10"/>
      <c r="F5" s="10"/>
      <c r="G5" s="10"/>
      <c r="H5" s="7"/>
      <c r="I5" s="7"/>
      <c r="J5"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H24"/>
  <sheetViews>
    <sheetView workbookViewId="0">
      <pane ySplit="3" topLeftCell="A4" activePane="bottomLeft" state="frozenSplit"/>
      <selection pane="bottomLeft" activeCell="A25" sqref="A25"/>
    </sheetView>
  </sheetViews>
  <sheetFormatPr defaultRowHeight="15" x14ac:dyDescent="0.25"/>
  <cols>
    <col min="1" max="1" width="18.140625" style="13" customWidth="1"/>
    <col min="2" max="2" width="23.5703125" style="14" customWidth="1"/>
    <col min="3" max="3" width="51" style="13" customWidth="1"/>
    <col min="4" max="4" width="45.5703125" style="13" customWidth="1"/>
    <col min="5" max="5" width="62.85546875" customWidth="1"/>
  </cols>
  <sheetData>
    <row r="1" spans="1:8" ht="16.5" customHeight="1" x14ac:dyDescent="0.25">
      <c r="A1" s="3"/>
      <c r="B1" s="3"/>
      <c r="C1" s="3"/>
      <c r="D1" s="10"/>
      <c r="E1" s="10" t="s">
        <v>118</v>
      </c>
      <c r="F1" s="11"/>
      <c r="G1" s="7"/>
      <c r="H1" s="7"/>
    </row>
    <row r="2" spans="1:8" ht="30" x14ac:dyDescent="0.25">
      <c r="A2" s="3"/>
      <c r="B2" s="3"/>
      <c r="C2" s="3"/>
      <c r="D2" s="10"/>
      <c r="E2" s="10" t="s">
        <v>119</v>
      </c>
      <c r="F2" s="11"/>
      <c r="G2" s="7"/>
      <c r="H2" s="7"/>
    </row>
    <row r="3" spans="1:8" s="1" customFormat="1" ht="13.5" customHeight="1" x14ac:dyDescent="0.25">
      <c r="A3" s="2" t="s">
        <v>1</v>
      </c>
      <c r="B3" s="2" t="s">
        <v>2</v>
      </c>
      <c r="C3" s="2" t="s">
        <v>3</v>
      </c>
      <c r="D3" s="8" t="s">
        <v>21</v>
      </c>
      <c r="E3" s="8"/>
      <c r="F3" s="9"/>
      <c r="G3" s="6"/>
      <c r="H3" s="6"/>
    </row>
    <row r="4" spans="1:8" ht="30" x14ac:dyDescent="0.25">
      <c r="A4" s="13" t="s">
        <v>60</v>
      </c>
      <c r="B4" s="14" t="s">
        <v>58</v>
      </c>
    </row>
    <row r="5" spans="1:8" x14ac:dyDescent="0.25">
      <c r="A5" s="13" t="s">
        <v>61</v>
      </c>
      <c r="B5" s="14" t="s">
        <v>62</v>
      </c>
    </row>
    <row r="6" spans="1:8" ht="30" x14ac:dyDescent="0.25">
      <c r="A6" s="13" t="s">
        <v>64</v>
      </c>
      <c r="B6" s="14" t="s">
        <v>63</v>
      </c>
    </row>
    <row r="7" spans="1:8" x14ac:dyDescent="0.25">
      <c r="A7" s="13" t="s">
        <v>65</v>
      </c>
      <c r="B7" s="14" t="s">
        <v>66</v>
      </c>
    </row>
    <row r="8" spans="1:8" ht="30" x14ac:dyDescent="0.25">
      <c r="A8" s="13" t="s">
        <v>67</v>
      </c>
      <c r="B8" s="14" t="s">
        <v>68</v>
      </c>
    </row>
    <row r="9" spans="1:8" ht="30" x14ac:dyDescent="0.25">
      <c r="A9" s="13" t="s">
        <v>69</v>
      </c>
      <c r="B9" s="14" t="s">
        <v>70</v>
      </c>
    </row>
    <row r="10" spans="1:8" x14ac:dyDescent="0.25">
      <c r="A10" s="13" t="s">
        <v>71</v>
      </c>
      <c r="B10" s="14" t="s">
        <v>72</v>
      </c>
    </row>
    <row r="11" spans="1:8" x14ac:dyDescent="0.25">
      <c r="A11" s="13" t="s">
        <v>73</v>
      </c>
      <c r="B11" s="14" t="s">
        <v>74</v>
      </c>
    </row>
    <row r="12" spans="1:8" x14ac:dyDescent="0.25">
      <c r="A12" s="13" t="s">
        <v>75</v>
      </c>
      <c r="B12" s="14" t="s">
        <v>77</v>
      </c>
    </row>
    <row r="13" spans="1:8" x14ac:dyDescent="0.25">
      <c r="A13" s="13" t="s">
        <v>76</v>
      </c>
      <c r="B13" s="14" t="s">
        <v>78</v>
      </c>
    </row>
    <row r="14" spans="1:8" x14ac:dyDescent="0.25">
      <c r="A14" s="13" t="s">
        <v>79</v>
      </c>
      <c r="B14" s="14" t="s">
        <v>80</v>
      </c>
    </row>
    <row r="15" spans="1:8" x14ac:dyDescent="0.25">
      <c r="A15" s="13" t="s">
        <v>83</v>
      </c>
      <c r="B15" s="14" t="s">
        <v>81</v>
      </c>
    </row>
    <row r="16" spans="1:8" x14ac:dyDescent="0.25">
      <c r="A16" s="13" t="s">
        <v>84</v>
      </c>
      <c r="B16" s="14" t="s">
        <v>82</v>
      </c>
    </row>
    <row r="17" spans="1:2" x14ac:dyDescent="0.25">
      <c r="A17" s="13" t="s">
        <v>85</v>
      </c>
      <c r="B17" s="14" t="s">
        <v>86</v>
      </c>
    </row>
    <row r="18" spans="1:2" x14ac:dyDescent="0.25">
      <c r="A18" s="13" t="s">
        <v>87</v>
      </c>
      <c r="B18" s="14" t="s">
        <v>88</v>
      </c>
    </row>
    <row r="19" spans="1:2" ht="30" x14ac:dyDescent="0.25">
      <c r="A19" s="13" t="s">
        <v>90</v>
      </c>
      <c r="B19" s="14" t="s">
        <v>89</v>
      </c>
    </row>
    <row r="20" spans="1:2" x14ac:dyDescent="0.25">
      <c r="A20" s="13" t="s">
        <v>91</v>
      </c>
      <c r="B20" s="14" t="s">
        <v>93</v>
      </c>
    </row>
    <row r="21" spans="1:2" ht="30" x14ac:dyDescent="0.25">
      <c r="A21" s="13" t="s">
        <v>92</v>
      </c>
      <c r="B21" s="14" t="s">
        <v>94</v>
      </c>
    </row>
    <row r="22" spans="1:2" x14ac:dyDescent="0.25">
      <c r="A22" s="13" t="s">
        <v>96</v>
      </c>
      <c r="B22" s="14" t="s">
        <v>95</v>
      </c>
    </row>
    <row r="23" spans="1:2" x14ac:dyDescent="0.25">
      <c r="A23" s="13" t="s">
        <v>99</v>
      </c>
      <c r="B23" s="14" t="s">
        <v>97</v>
      </c>
    </row>
    <row r="24" spans="1:2" ht="30" x14ac:dyDescent="0.25">
      <c r="A24" s="13" t="s">
        <v>100</v>
      </c>
      <c r="B24" s="14" t="s">
        <v>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NewRow">
                <anchor moveWithCells="1" sizeWithCells="1">
                  <from>
                    <xdr:col>0</xdr:col>
                    <xdr:colOff>19050</xdr:colOff>
                    <xdr:row>0</xdr:row>
                    <xdr:rowOff>190500</xdr:rowOff>
                  </from>
                  <to>
                    <xdr:col>0</xdr:col>
                    <xdr:colOff>1200150</xdr:colOff>
                    <xdr:row>1</xdr:row>
                    <xdr:rowOff>171450</xdr:rowOff>
                  </to>
                </anchor>
              </controlPr>
            </control>
          </mc:Choice>
        </mc:AlternateContent>
        <mc:AlternateContent xmlns:mc="http://schemas.openxmlformats.org/markup-compatibility/2006">
          <mc:Choice Requires="x14">
            <control shapeId="15362" r:id="rId4"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H6"/>
  <sheetViews>
    <sheetView workbookViewId="0">
      <pane ySplit="3" topLeftCell="A4" activePane="bottomLeft" state="frozenSplit"/>
      <selection pane="bottomLeft" activeCell="E3" sqref="E3"/>
    </sheetView>
  </sheetViews>
  <sheetFormatPr defaultRowHeight="15" x14ac:dyDescent="0.25"/>
  <cols>
    <col min="1" max="1" width="11.42578125" style="3" customWidth="1"/>
    <col min="2" max="2" width="18.5703125" style="14" customWidth="1"/>
    <col min="3" max="3" width="42.42578125" style="14" customWidth="1"/>
    <col min="4" max="4" width="45.42578125" style="14" customWidth="1"/>
    <col min="5" max="5" width="79.140625" style="13" customWidth="1"/>
  </cols>
  <sheetData>
    <row r="1" spans="1:8" x14ac:dyDescent="0.25">
      <c r="B1" s="3"/>
      <c r="C1" s="3"/>
      <c r="D1" s="10"/>
      <c r="E1" s="10" t="s">
        <v>115</v>
      </c>
      <c r="F1" s="11"/>
      <c r="G1" s="7"/>
      <c r="H1" s="7"/>
    </row>
    <row r="2" spans="1:8" ht="30" x14ac:dyDescent="0.25">
      <c r="B2" s="3"/>
      <c r="C2" s="3"/>
      <c r="D2" s="10"/>
      <c r="E2" s="10" t="s">
        <v>116</v>
      </c>
      <c r="F2" s="11"/>
      <c r="G2" s="7"/>
      <c r="H2" s="7"/>
    </row>
    <row r="3" spans="1:8" s="1" customFormat="1" ht="13.5" customHeight="1" x14ac:dyDescent="0.25">
      <c r="A3" s="2" t="s">
        <v>113</v>
      </c>
      <c r="B3" s="2" t="s">
        <v>2</v>
      </c>
      <c r="C3" s="2" t="s">
        <v>3</v>
      </c>
      <c r="D3" s="8" t="s">
        <v>21</v>
      </c>
      <c r="E3" s="8"/>
      <c r="F3" s="9"/>
      <c r="G3" s="6"/>
      <c r="H3" s="6"/>
    </row>
    <row r="4" spans="1:8" x14ac:dyDescent="0.25">
      <c r="A4" s="3">
        <v>1</v>
      </c>
      <c r="B4" s="14" t="s">
        <v>101</v>
      </c>
      <c r="C4" s="14" t="s">
        <v>103</v>
      </c>
    </row>
    <row r="5" spans="1:8" ht="30" x14ac:dyDescent="0.25">
      <c r="A5" s="3" t="s">
        <v>114</v>
      </c>
      <c r="B5" s="14" t="s">
        <v>104</v>
      </c>
      <c r="C5" s="14" t="s">
        <v>105</v>
      </c>
    </row>
    <row r="6" spans="1:8" x14ac:dyDescent="0.25">
      <c r="A6" s="3">
        <v>2</v>
      </c>
      <c r="B6" s="14" t="s">
        <v>102</v>
      </c>
      <c r="C6" s="14" t="s">
        <v>107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3"/>
  <sheetViews>
    <sheetView workbookViewId="0">
      <selection activeCell="A14" sqref="A14"/>
    </sheetView>
  </sheetViews>
  <sheetFormatPr defaultRowHeight="15" x14ac:dyDescent="0.25"/>
  <cols>
    <col min="1" max="1" width="26.28515625" customWidth="1"/>
    <col min="4" max="4" width="23.7109375" customWidth="1"/>
  </cols>
  <sheetData>
    <row r="1" spans="1:4" x14ac:dyDescent="0.25">
      <c r="A1" t="s">
        <v>117</v>
      </c>
    </row>
    <row r="3" spans="1:4" x14ac:dyDescent="0.25">
      <c r="A3" s="1" t="s">
        <v>6</v>
      </c>
      <c r="D3" t="s">
        <v>171</v>
      </c>
    </row>
    <row r="5" spans="1:4" x14ac:dyDescent="0.25">
      <c r="A5" t="s">
        <v>11</v>
      </c>
      <c r="B5">
        <v>1</v>
      </c>
      <c r="D5" t="s">
        <v>172</v>
      </c>
    </row>
    <row r="6" spans="1:4" x14ac:dyDescent="0.25">
      <c r="A6" t="s">
        <v>12</v>
      </c>
      <c r="B6">
        <v>4</v>
      </c>
      <c r="D6" t="s">
        <v>173</v>
      </c>
    </row>
    <row r="7" spans="1:4" x14ac:dyDescent="0.25">
      <c r="A7" t="s">
        <v>59</v>
      </c>
      <c r="B7">
        <v>21</v>
      </c>
    </row>
    <row r="8" spans="1:4" x14ac:dyDescent="0.25">
      <c r="A8" t="s">
        <v>7</v>
      </c>
      <c r="B8">
        <v>2</v>
      </c>
    </row>
    <row r="9" spans="1:4" x14ac:dyDescent="0.25">
      <c r="A9" t="s">
        <v>45</v>
      </c>
      <c r="B9">
        <v>2</v>
      </c>
    </row>
    <row r="10" spans="1:4" x14ac:dyDescent="0.25">
      <c r="A10" t="s">
        <v>36</v>
      </c>
      <c r="B10">
        <v>1</v>
      </c>
    </row>
    <row r="11" spans="1:4" x14ac:dyDescent="0.25">
      <c r="A11" t="s">
        <v>162</v>
      </c>
      <c r="B11">
        <v>0</v>
      </c>
    </row>
    <row r="12" spans="1:4" x14ac:dyDescent="0.25">
      <c r="A12" t="s">
        <v>181</v>
      </c>
      <c r="B12">
        <v>0</v>
      </c>
    </row>
    <row r="13" spans="1:4" x14ac:dyDescent="0.25">
      <c r="A13" t="s">
        <v>182</v>
      </c>
      <c r="B13">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overview</vt:lpstr>
      <vt:lpstr>impact</vt:lpstr>
      <vt:lpstr>community</vt:lpstr>
      <vt:lpstr>location</vt:lpstr>
      <vt:lpstr>project</vt:lpstr>
      <vt:lpstr>proposal</vt:lpstr>
      <vt:lpstr>resource-source</vt:lpstr>
      <vt:lpstr>agent</vt:lpstr>
      <vt:lpstr>reference</vt:lpstr>
      <vt:lpstr>impact-category</vt:lpstr>
      <vt:lpstr>community-classification</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2014-12-15T20:55:01Z</dcterms:modified>
</cp:coreProperties>
</file>