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8070" activeTab="2"/>
  </bookViews>
  <sheets>
    <sheet name="overview" sheetId="1" r:id="rId1"/>
    <sheet name="predicted-impact" sheetId="5" r:id="rId2"/>
    <sheet name="community" sheetId="4" r:id="rId3"/>
    <sheet name="location" sheetId="2" r:id="rId4"/>
    <sheet name="project" sheetId="7" r:id="rId5"/>
    <sheet name="proposal" sheetId="10" r:id="rId6"/>
    <sheet name="resource-source" sheetId="12" r:id="rId7"/>
    <sheet name="item" sheetId="14" r:id="rId8"/>
    <sheet name="item-category" sheetId="15" r:id="rId9"/>
    <sheet name="agent" sheetId="11" r:id="rId10"/>
    <sheet name="agent-category" sheetId="13" r:id="rId11"/>
    <sheet name="reference" sheetId="6" r:id="rId12"/>
    <sheet name="impact-category" sheetId="8" r:id="rId13"/>
    <sheet name="community-classification" sheetId="9" r:id="rId14"/>
    <sheet name="internal" sheetId="3" r:id="rId15"/>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<sst xmlns="http://schemas.openxmlformats.org/spreadsheetml/2006/main" count="569" uniqueCount="324">
  <si>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</si>
  <si>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</si>
  <si>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</si>
  <si>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</si>
  <si>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</si>
  <si>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</si>
  <si>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</si>
  <si>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</si>
  <si>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</si>
  <si>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</si>
  <si>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</si>
  <si>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</si>
  <si>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</si>
  <si>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</si>
  <si>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http://data.ordnancesurvey.co.uk/doc/50kGazetteer/119151</t>
  </si>
  <si>
    <t>http://data.ordnancesurvey.co.uk/doc/7000000000010701</t>
  </si>
  <si>
    <t>Comment</t>
  </si>
  <si>
    <t>May want to make this the main power station site rather than Hinkley C. The lat/long are inaccurate - they are for the main power station site.</t>
  </si>
  <si>
    <t>Bridgwater</t>
  </si>
  <si>
    <t>The town of Bridgwater</t>
  </si>
  <si>
    <t>http://data.ordnancesurvey.co.uk/doc/50kGazetteer/32067</t>
  </si>
  <si>
    <t>http://data.ordnancesurvey.co.uk/doc/7000000000042256</t>
  </si>
  <si>
    <t>Part Of</t>
  </si>
  <si>
    <t>Bridgwater Residents</t>
  </si>
  <si>
    <t>The residents of Bridgwater</t>
  </si>
  <si>
    <t>Impact on Library Services</t>
  </si>
  <si>
    <t>Title</t>
  </si>
  <si>
    <t>Hinkley Point C Local Impact Report</t>
  </si>
  <si>
    <t>The local impact report for the construction of the Hinkley Point C nuclear power station.</t>
  </si>
  <si>
    <t>URI</t>
  </si>
  <si>
    <t>http://www.sedgemoor.gov.uk/CHttpHandler.ashx?id=9845&amp;p=0</t>
  </si>
  <si>
    <t>Reference URI</t>
  </si>
  <si>
    <t>17.3.6.3</t>
  </si>
  <si>
    <t>During the construction phase of the development there will be added pressure on key public facilities, including static libraries. Those impacts are most likely to arise in Bridgwater and Williton due to the distribution of the construction workforce as predicted by the transport gravity model and in particular as a result of the proposed campus accommodation totalling 1510 bed-spaces. SCC considers that there will be some negative impact on Somerset libraries and does not agree with the applicant’s Environmental Assessment (ES) which considers any impact on libraries, arts and other cultural services to be negligible due to the demographic profile of the non-home based workforce – see the reference to “mainly single, male and working age – their shift patterns, and temporary nature of much of the workforce” at paragraph 9.6.149 of Chapter 9 of the ES.</t>
  </si>
  <si>
    <t>impact report</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</si>
  <si>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</si>
  <si>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</si>
  <si>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</si>
  <si>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</si>
  <si>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Cannington Bypass Construction</t>
  </si>
  <si>
    <t>The project to construct the Cannington Bypass.</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</si>
  <si>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</si>
  <si>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</si>
  <si>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</si>
  <si>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</si>
  <si>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</si>
  <si>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</si>
  <si>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</si>
  <si>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</si>
  <si>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</si>
  <si>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</si>
  <si>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</si>
  <si>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</si>
  <si>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</si>
  <si>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</si>
  <si>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</si>
  <si>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</si>
  <si>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</si>
  <si>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</si>
  <si>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</si>
  <si>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</si>
  <si>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</si>
  <si>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</si>
  <si>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</si>
  <si>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</si>
  <si>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</si>
  <si>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</si>
  <si>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</si>
  <si>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non-residents</t>
  </si>
  <si>
    <t>The residents of some locale</t>
  </si>
  <si>
    <t>mothers and todlers</t>
  </si>
  <si>
    <t>Mothers and young children</t>
  </si>
  <si>
    <t>Classification</t>
  </si>
  <si>
    <t>Non-residents</t>
  </si>
  <si>
    <t>Impact Category Name</t>
  </si>
  <si>
    <t>Project Name</t>
  </si>
  <si>
    <t>Impact Of</t>
  </si>
  <si>
    <t xml:space="preserve">Identifier </t>
  </si>
  <si>
    <t>1.1</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</si>
  <si>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</si>
  <si>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</si>
  <si>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</si>
  <si>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</si>
  <si>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</si>
  <si>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</si>
  <si>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</si>
  <si>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</si>
  <si>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1</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</si>
  <si>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</si>
  <si>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Impact on other community and local authority services relating to influx of construction workers and their families</t>
  </si>
  <si>
    <t xml:space="preserve">By virtue of the numbers of non-home based workers predicted to live within Somerset, especially the significant number of workers who will choose to live in Sedgemoor and West Somerset, there will be an increased demand for public services. Those new to the area are expected to draw on public services whilst familiarising themselves with their surroundings and there is also predicted to be increased incidents, including complaints, and demands for additional services (such as transport, housing, community services, safety, skills outreach, environmental health, economic development, port of Bridgwater), that the Councils would be expected to respond to. Throughout the construction phase there is anticipated to be a high level of ‘churn’ of the construction workforce with an estimated 20,000 to 25,000 workers involved during the lifetime of the project. This level of churn will result in a changing community profile throughout the construction phase, not just at the beginning. .Furthermore the worker profile is dominated by ‘short term’ contracts which has the potential to have a more acute impact on community safety, cohesion and community well-being as workers may adopt a ‘short-termism’ attitude towards their stay in Bridgwater and Somerset. This level of churn and short termism will mean that the increased requirements and demands on facilities and services will be continually repeated throughout the timeframe of the construction period. </t>
  </si>
  <si>
    <t>17.3.7</t>
  </si>
  <si>
    <t>Impact of economic inequality on community cohesion</t>
  </si>
  <si>
    <t xml:space="preserve">Community tensions can arise through economic differences between the construction workforce and existing residents. This can serve to aggravate other impacts and disturbances arising from construction activities (e.g. traffic congestion, noise, air quality). There is also potential for physical and acquisitive crime being committed against those who are seen as being disproportionately affluent. </t>
  </si>
  <si>
    <t>17.3.2</t>
  </si>
  <si>
    <t>Impact of migrant workforce on community cohesion</t>
  </si>
  <si>
    <t xml:space="preserve">Further to the disparity in earnings there is potential that cultural differences between migrant workers and the resident population could result in local community impacts and increased community tensions. </t>
  </si>
  <si>
    <t>17.3.3</t>
  </si>
  <si>
    <t>Classification Name</t>
  </si>
  <si>
    <t>Location Name</t>
  </si>
  <si>
    <t>Part Of Name</t>
  </si>
  <si>
    <t>Mitigates Name</t>
  </si>
  <si>
    <t>parent project name</t>
  </si>
  <si>
    <t>Test Project</t>
  </si>
  <si>
    <t>A dummy project for testing</t>
  </si>
  <si>
    <t>test-reference</t>
  </si>
  <si>
    <t>Test Community</t>
  </si>
  <si>
    <t>A dummy community for testing</t>
  </si>
  <si>
    <t>Test Location</t>
  </si>
  <si>
    <t>A dummy location for testing</t>
  </si>
  <si>
    <t>Test Impact</t>
  </si>
  <si>
    <t>test reference</t>
  </si>
  <si>
    <t>2014-04-02</t>
  </si>
  <si>
    <t>2014-04-01</t>
  </si>
  <si>
    <t>2014-05-06</t>
  </si>
  <si>
    <t>proposal</t>
  </si>
  <si>
    <t>Status</t>
  </si>
  <si>
    <t>Test Proposal</t>
  </si>
  <si>
    <t>Test Reference</t>
  </si>
  <si>
    <t>A dummy reference for testing</t>
  </si>
  <si>
    <t>http://example.org/testing</t>
  </si>
  <si>
    <t>A dummy proposal for testing</t>
  </si>
  <si>
    <t>test internal reference</t>
  </si>
  <si>
    <t>proposal status values</t>
  </si>
  <si>
    <t>accepted</t>
  </si>
  <si>
    <t>rejected</t>
  </si>
  <si>
    <t>Test Agent</t>
  </si>
  <si>
    <t>A dummy agent for testing</t>
  </si>
  <si>
    <t>Proposed By</t>
  </si>
  <si>
    <t>Proposed By Name</t>
  </si>
  <si>
    <t>Proposed To</t>
  </si>
  <si>
    <t>Proposed To Name</t>
  </si>
  <si>
    <t>agent</t>
  </si>
  <si>
    <t>resource-source</t>
  </si>
  <si>
    <t>Test Resource Source</t>
  </si>
  <si>
    <t>A dummy resource source for testing</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</si>
  <si>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</si>
  <si>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</si>
  <si>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</si>
  <si>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</si>
  <si>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</si>
  <si>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</si>
  <si>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</si>
  <si>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</si>
  <si>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</si>
  <si>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</si>
  <si>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2099-07-08</t>
  </si>
  <si>
    <t>Test Project 2</t>
  </si>
  <si>
    <t>Another dummy project for testing</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</si>
  <si>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</si>
  <si>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</si>
  <si>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</si>
  <si>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</si>
  <si>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The local authority, Sedgemoor District Council.</t>
  </si>
  <si>
    <t>Version Date</t>
  </si>
  <si>
    <t>community/1</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</si>
  <si>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</si>
  <si>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</si>
  <si>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</si>
  <si>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</si>
  <si>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</si>
  <si>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</si>
  <si>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</si>
  <si>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</si>
  <si>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</si>
  <si>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</si>
  <si>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</si>
  <si>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</si>
  <si>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</si>
  <si>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</si>
  <si>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</si>
  <si>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</si>
  <si>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</si>
  <si>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</si>
  <si>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</si>
  <si>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</si>
  <si>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</si>
  <si>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</si>
  <si>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</si>
  <si>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</si>
  <si>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</si>
  <si>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</si>
  <si>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</si>
  <si>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proposal/test</t>
  </si>
  <si>
    <t>community/test</t>
  </si>
  <si>
    <t>location/test</t>
  </si>
  <si>
    <t>project/test</t>
  </si>
  <si>
    <t>project/test-2</t>
  </si>
  <si>
    <t>resource-source/test</t>
  </si>
  <si>
    <t>agent/test</t>
  </si>
  <si>
    <t>Same As</t>
  </si>
  <si>
    <t>Same As Name</t>
  </si>
  <si>
    <t>http://example.org/testAgent</t>
  </si>
  <si>
    <t>Same As Test Agent</t>
  </si>
  <si>
    <t>http://opendatacommunities.org/id/district-council/sedgemoor</t>
  </si>
  <si>
    <t>Sedgemoor</t>
  </si>
  <si>
    <t>Same As name</t>
  </si>
  <si>
    <t>sameAs Test Impact</t>
  </si>
  <si>
    <t>http://example.org/predictedImpact/testImpact</t>
  </si>
  <si>
    <t>http://example.org/community/sameAstest</t>
  </si>
  <si>
    <t>SameAs Test Community</t>
  </si>
  <si>
    <t>SameAs Test Location</t>
  </si>
  <si>
    <t>http://example.org/project/sameAsTest</t>
  </si>
  <si>
    <t>http://example.org/proposal/sameAsTest</t>
  </si>
  <si>
    <t>SameAs Test Proposal</t>
  </si>
  <si>
    <t>http://example.org/resource-source/sameAsTest</t>
  </si>
  <si>
    <t>SameAs Test Resource Source</t>
  </si>
  <si>
    <t>http://example.org/reference/sameAsTest</t>
  </si>
  <si>
    <t>SameAs Test Reference</t>
  </si>
  <si>
    <t>impact-category/test</t>
  </si>
  <si>
    <t>Test Impact Category</t>
  </si>
  <si>
    <t>http://example.org/impact-category/sameAsTest</t>
  </si>
  <si>
    <t>SameAs Test Impact Category</t>
  </si>
  <si>
    <t>test community category</t>
  </si>
  <si>
    <t>http://example.org/community-category/sameAsTest</t>
  </si>
  <si>
    <t>SameAs Test Community Category</t>
  </si>
  <si>
    <t>SameAs Test Project</t>
  </si>
  <si>
    <t>predicted-impact</t>
  </si>
  <si>
    <t>predicted-impact/test</t>
  </si>
  <si>
    <t>predicted-impact/1</t>
  </si>
  <si>
    <t>predicted-impact/2</t>
  </si>
  <si>
    <t>predicted-impact/3</t>
  </si>
  <si>
    <t>predicted-impact/4</t>
  </si>
  <si>
    <t xml:space="preserve">A hierarchival classification of impacts.  </t>
  </si>
  <si>
    <t>impact-category/test.1</t>
  </si>
  <si>
    <t>Identifiers should be of the form impact-category/1.2.3.4.5.  The number of dots indicates the level in the hierarchy.  The maximum number of levels is 5.</t>
  </si>
  <si>
    <t>Test Impact First Level Subcategory</t>
  </si>
  <si>
    <t>Reference Section</t>
  </si>
  <si>
    <t>predicted-impact/test-2</t>
  </si>
  <si>
    <t>Gazetteer</t>
  </si>
  <si>
    <t>Area</t>
  </si>
  <si>
    <t>Contained In</t>
  </si>
  <si>
    <t>test section</t>
  </si>
  <si>
    <t>test section reference</t>
  </si>
  <si>
    <t>location/3</t>
  </si>
  <si>
    <t>Hinkley Nuclear Power Station</t>
  </si>
  <si>
    <t>The nuclear power station at Hinkley Point in West Somerset.</t>
  </si>
  <si>
    <t>location/4</t>
  </si>
  <si>
    <t>Cannington Bypass</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</si>
  <si>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</si>
  <si>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</si>
  <si>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</si>
  <si>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</si>
  <si>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</si>
  <si>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individual</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</si>
  <si>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</si>
  <si>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</si>
  <si>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</si>
  <si>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</si>
  <si>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</si>
  <si>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1.1.1</t>
  </si>
  <si>
    <t>public sector organization</t>
  </si>
  <si>
    <t>A public sector organization such as a government department or local authority</t>
  </si>
  <si>
    <t>private sector organization</t>
  </si>
  <si>
    <t>A private sector organization such a company or partner ship</t>
  </si>
  <si>
    <t>charitable organizations</t>
  </si>
  <si>
    <t>A  recognized and registered charitable organization</t>
  </si>
  <si>
    <t>central government organization</t>
  </si>
  <si>
    <t>A central government organization such as the Cabinet office or Treasury</t>
  </si>
  <si>
    <t>local government organization</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</si>
  <si>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</si>
  <si>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</si>
  <si>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</si>
  <si>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</si>
  <si>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</si>
  <si>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</si>
  <si>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</si>
  <si>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</si>
  <si>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</si>
  <si>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</si>
  <si>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</si>
  <si>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</si>
  <si>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</si>
  <si>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</si>
  <si>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</si>
  <si>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</si>
  <si>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</si>
  <si>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</si>
  <si>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</si>
  <si>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</si>
  <si>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item/test</t>
  </si>
  <si>
    <t>test item</t>
  </si>
  <si>
    <t>An item used for testing</t>
  </si>
  <si>
    <t>http://example.org/testItem</t>
  </si>
  <si>
    <t>SameAs Test Item</t>
  </si>
  <si>
    <t>item/1</t>
  </si>
  <si>
    <t>A bypass at Cannington</t>
  </si>
  <si>
    <t xml:space="preserve">Cannington </t>
  </si>
  <si>
    <t>The town of Cannington</t>
  </si>
  <si>
    <t>http://data.ordnancesurvey.co.uk/doc/50kGazetteer/42603</t>
  </si>
  <si>
    <t>http://data.ordnancesurvey.co.uk/doc/7000000000010595</t>
  </si>
  <si>
    <t>item-category/test</t>
  </si>
  <si>
    <t>Test Item Category</t>
  </si>
  <si>
    <t>A test item category</t>
  </si>
  <si>
    <t>http://example.org/testItemCategory</t>
  </si>
  <si>
    <t>Identifiers should be of the form item-category/1.2.3.4.5.  The number of dots indicates the level in the hierarchy.  The maximum number of levels is 5.</t>
  </si>
  <si>
    <t>item-category/test.1</t>
  </si>
  <si>
    <t>Test.1 Item Category</t>
  </si>
  <si>
    <t>A test item level 2 subcategory</t>
  </si>
  <si>
    <t>Item Category</t>
  </si>
  <si>
    <t>Item Category Name</t>
  </si>
  <si>
    <t>Predicted By</t>
  </si>
  <si>
    <t>Predicted By Name</t>
  </si>
  <si>
    <t>About</t>
  </si>
  <si>
    <t>Definition</t>
  </si>
  <si>
    <t>Impacts On</t>
  </si>
  <si>
    <t>Impacts On Name</t>
  </si>
  <si>
    <t>community/test-sub</t>
  </si>
  <si>
    <t>Test sub community</t>
  </si>
  <si>
    <t>A dummy sub community for testing</t>
  </si>
  <si>
    <t>http://example.org/location/sameAsTest</t>
  </si>
  <si>
    <t>Test Predicted Impact</t>
  </si>
  <si>
    <t>Test Predicted Impact 2</t>
  </si>
  <si>
    <t>A dummy predicted impact for testing</t>
  </si>
  <si>
    <t/>
  </si>
  <si>
    <t>resource-source/test-2</t>
  </si>
  <si>
    <t>Test Resource Source2</t>
  </si>
  <si>
    <t>test reference section</t>
  </si>
  <si>
    <t>test item category</t>
  </si>
  <si>
    <t>test</t>
  </si>
  <si>
    <t>About Name</t>
  </si>
  <si>
    <t>A second dummy resource source for testing</t>
  </si>
  <si>
    <t>Community</t>
  </si>
  <si>
    <t>Community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</si>
</sst>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7">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49" fontId="0" fillId="0" borderId="0" xfId="0" applyNumberFormat="1" applyFont="1" applyFill="1" applyAlignment="1">
      <alignment vertical="top" wrapText="1"/>
    </xf>
    <xf numFmtId="49" fontId="0" fillId="0" borderId="0" xfId="0" applyNumberFormat="1" applyFont="1" applyAlignment="1" applyProtection="1">
      <alignment vertical="top" wrapText="1"/>
      <protection locked="0"/>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49" fontId="0" fillId="2" borderId="0" xfId="0" applyNumberFormat="1"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2" fillId="0" borderId="0" xfId="1" applyNumberFormat="1" applyFill="1" applyAlignment="1">
      <alignment vertical="top" wrapText="1"/>
    </xf>
    <xf numFmtId="49" fontId="2" fillId="0" borderId="0" xfId="1" applyNumberFormat="1" applyAlignment="1">
      <alignment vertical="top" wrapText="1"/>
    </xf>
    <xf numFmtId="164" fontId="0" fillId="0" borderId="0" xfId="0" applyNumberFormat="1" applyFont="1" applyAlignment="1" applyProtection="1">
      <alignment vertical="top" wrapText="1"/>
      <protection locked="0"/>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49" fontId="2" fillId="0" borderId="0" xfId="1" applyNumberFormat="1" applyFon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ont="1" applyFill="1" applyAlignment="1" applyProtection="1">
      <alignment vertical="top" wrapText="1"/>
      <protection locked="0"/>
    </xf>
    <xf numFmtId="164" fontId="0" fillId="2" borderId="0" xfId="0" applyNumberFormat="1" applyFill="1" applyAlignment="1" applyProtection="1">
      <alignment vertical="top" wrapText="1"/>
      <protection locked="0"/>
    </xf>
    <xf numFmtId="164" fontId="2" fillId="0" borderId="0" xfId="1" applyNumberFormat="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example.org/predictedImpact/testImpact"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example.org/community/sameAstest"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hyperlink" Target="http://example.org/location/sameAsTest" TargetMode="External"/><Relationship Id="rId7" Type="http://schemas.openxmlformats.org/officeDocument/2006/relationships/ctrlProp" Target="../ctrlProps/ctrlProp6.xml"/><Relationship Id="rId2" Type="http://schemas.openxmlformats.org/officeDocument/2006/relationships/hyperlink" Target="http://data.ordnancesurvey.co.uk/doc/50kGazetteer/119151" TargetMode="External"/><Relationship Id="rId1" Type="http://schemas.openxmlformats.org/officeDocument/2006/relationships/hyperlink" Target="http://data.ordnancesurvey.co.uk/doc/700000000001070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example.org/project/sameAsTest" TargetMode="Externa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example.org/proposal/sameAsTest"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example.org/resource-source/sameAsTest"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example.org/testItem" TargetMode="Externa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example.org/testItemCategory" TargetMode="Externa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opendatacommunities.org/id/district-council/sedgemoor" TargetMode="External"/><Relationship Id="rId1" Type="http://schemas.openxmlformats.org/officeDocument/2006/relationships/hyperlink" Target="http://example.org/testAgent"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hyperlink" Target="http://example.org/reference/sameAsTest" TargetMode="Externa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example.org/impact-category/sameAsTest" TargetMode="Externa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hyperlink" Target="http://example.org/community-category/sameAsTest" TargetMode="Externa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14" sqref="A14"/>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84</v>
      </c>
    </row>
    <row r="5" spans="1:1" ht="30" x14ac:dyDescent="0.25">
      <c r="A5" s="3" t="s">
        <v>85</v>
      </c>
    </row>
    <row r="7" spans="1:1" x14ac:dyDescent="0.25">
      <c r="A7" s="3" t="s">
        <v>149</v>
      </c>
    </row>
    <row r="9" spans="1:1" ht="45" x14ac:dyDescent="0.25">
      <c r="A9" s="3" t="s">
        <v>88</v>
      </c>
    </row>
    <row r="11" spans="1:1" ht="30" x14ac:dyDescent="0.25">
      <c r="A11" s="3" t="s">
        <v>150</v>
      </c>
    </row>
    <row r="13" spans="1:1" ht="30" x14ac:dyDescent="0.25">
      <c r="A13" s="3" t="s">
        <v>151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0"/>
  <sheetViews>
    <sheetView topLeftCell="D1" workbookViewId="0">
      <pane ySplit="3" topLeftCell="A4" activePane="bottomLeft" state="frozenSplit"/>
      <selection pane="bottomLeft" activeCell="E6" sqref="E6"/>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86</v>
      </c>
      <c r="C3" s="2" t="s">
        <v>154</v>
      </c>
      <c r="D3" s="2" t="s">
        <v>2</v>
      </c>
      <c r="E3" s="16" t="s">
        <v>3</v>
      </c>
      <c r="F3" s="11" t="s">
        <v>10</v>
      </c>
      <c r="G3" s="20" t="s">
        <v>74</v>
      </c>
      <c r="H3" s="11" t="s">
        <v>76</v>
      </c>
      <c r="I3" s="23" t="s">
        <v>75</v>
      </c>
      <c r="J3" s="11" t="s">
        <v>305</v>
      </c>
      <c r="K3" s="23" t="s">
        <v>306</v>
      </c>
      <c r="L3" s="11" t="s">
        <v>11</v>
      </c>
      <c r="M3" s="23" t="s">
        <v>31</v>
      </c>
      <c r="N3" s="11" t="s">
        <v>227</v>
      </c>
      <c r="O3" s="11" t="s">
        <v>301</v>
      </c>
      <c r="P3" s="23" t="s">
        <v>302</v>
      </c>
      <c r="Q3" s="11" t="s">
        <v>190</v>
      </c>
      <c r="R3" s="11" t="s">
        <v>196</v>
      </c>
    </row>
    <row r="4" spans="1:18" s="40" customFormat="1" ht="48.75" customHeight="1" x14ac:dyDescent="0.25">
      <c r="A4" s="25" t="s">
        <v>218</v>
      </c>
      <c r="B4" s="25"/>
      <c r="C4" s="25" t="s">
        <v>113</v>
      </c>
      <c r="D4" s="25" t="s">
        <v>311</v>
      </c>
      <c r="E4" s="39" t="s">
        <v>313</v>
      </c>
      <c r="F4" s="26" t="s">
        <v>209</v>
      </c>
      <c r="G4" s="46" t="s">
        <v>210</v>
      </c>
      <c r="H4" s="26" t="s">
        <v>158</v>
      </c>
      <c r="I4" s="37" t="s">
        <v>37</v>
      </c>
      <c r="J4" s="26" t="s">
        <v>184</v>
      </c>
      <c r="K4" s="37" t="s">
        <v>106</v>
      </c>
      <c r="L4" s="26" t="s">
        <v>34</v>
      </c>
      <c r="M4" s="37" t="s">
        <v>30</v>
      </c>
      <c r="N4" s="26" t="s">
        <v>111</v>
      </c>
      <c r="O4" s="26" t="s">
        <v>189</v>
      </c>
      <c r="P4" s="37" t="s">
        <v>126</v>
      </c>
      <c r="Q4" s="41" t="s">
        <v>198</v>
      </c>
      <c r="R4" s="26" t="s">
        <v>197</v>
      </c>
    </row>
    <row r="5" spans="1:18" s="40" customFormat="1" ht="34.5" customHeight="1" x14ac:dyDescent="0.25">
      <c r="A5" s="25" t="s">
        <v>228</v>
      </c>
      <c r="B5" s="25"/>
      <c r="C5" s="25" t="s">
        <v>112</v>
      </c>
      <c r="D5" s="25" t="s">
        <v>312</v>
      </c>
      <c r="E5" s="39" t="s">
        <v>313</v>
      </c>
      <c r="F5" s="26" t="s">
        <v>224</v>
      </c>
      <c r="G5" s="46" t="s">
        <v>226</v>
      </c>
      <c r="H5" s="26" t="s">
        <v>186</v>
      </c>
      <c r="I5" s="37" t="s">
        <v>103</v>
      </c>
      <c r="J5" s="26" t="s">
        <v>184</v>
      </c>
      <c r="K5" s="37" t="s">
        <v>106</v>
      </c>
      <c r="L5" s="26" t="s">
        <v>34</v>
      </c>
      <c r="M5" s="37" t="s">
        <v>30</v>
      </c>
      <c r="N5" s="26"/>
      <c r="O5" s="26" t="s">
        <v>161</v>
      </c>
      <c r="P5" s="37" t="s">
        <v>152</v>
      </c>
      <c r="Q5" s="41"/>
      <c r="R5" s="26"/>
    </row>
    <row r="6" spans="1:18" ht="161.25" customHeight="1" x14ac:dyDescent="0.25">
      <c r="A6" s="3" t="s">
        <v>219</v>
      </c>
      <c r="D6" s="3" t="s">
        <v>25</v>
      </c>
      <c r="E6" s="17" t="s">
        <v>33</v>
      </c>
      <c r="F6" s="13" t="s">
        <v>177</v>
      </c>
      <c r="G6" s="18" t="s">
        <v>61</v>
      </c>
      <c r="H6" s="13" t="s">
        <v>158</v>
      </c>
      <c r="I6" s="21" t="s">
        <v>37</v>
      </c>
      <c r="J6" s="13" t="s">
        <v>155</v>
      </c>
      <c r="K6" s="21" t="s">
        <v>23</v>
      </c>
      <c r="L6" s="13" t="s">
        <v>34</v>
      </c>
      <c r="M6" s="18" t="s">
        <v>30</v>
      </c>
      <c r="N6" s="13" t="s">
        <v>32</v>
      </c>
      <c r="O6" s="13" t="s">
        <v>161</v>
      </c>
      <c r="P6" s="21" t="s">
        <v>152</v>
      </c>
    </row>
    <row r="7" spans="1:18" ht="156" customHeight="1" x14ac:dyDescent="0.25">
      <c r="A7" s="3" t="s">
        <v>219</v>
      </c>
      <c r="B7" s="3" t="s">
        <v>87</v>
      </c>
      <c r="D7" s="3" t="s">
        <v>25</v>
      </c>
      <c r="E7" s="17" t="s">
        <v>33</v>
      </c>
      <c r="F7" s="13" t="s">
        <v>177</v>
      </c>
      <c r="G7" s="18" t="s">
        <v>61</v>
      </c>
      <c r="H7" s="13" t="s">
        <v>158</v>
      </c>
      <c r="I7" s="21" t="s">
        <v>37</v>
      </c>
      <c r="J7" s="13" t="s">
        <v>155</v>
      </c>
      <c r="K7" s="21" t="s">
        <v>23</v>
      </c>
      <c r="L7" s="13" t="s">
        <v>34</v>
      </c>
      <c r="M7" s="18" t="s">
        <v>30</v>
      </c>
      <c r="N7" s="13" t="s">
        <v>32</v>
      </c>
      <c r="O7" s="13" t="s">
        <v>161</v>
      </c>
      <c r="P7" s="21" t="s">
        <v>152</v>
      </c>
    </row>
    <row r="8" spans="1:18" ht="255.75" customHeight="1" x14ac:dyDescent="0.25">
      <c r="A8" s="3" t="s">
        <v>220</v>
      </c>
      <c r="D8" s="3" t="s">
        <v>89</v>
      </c>
      <c r="E8" s="17" t="s">
        <v>90</v>
      </c>
      <c r="F8" s="13" t="s">
        <v>177</v>
      </c>
      <c r="G8" s="18" t="s">
        <v>61</v>
      </c>
      <c r="H8" s="13" t="s">
        <v>158</v>
      </c>
      <c r="I8" s="21" t="s">
        <v>37</v>
      </c>
      <c r="J8" s="13" t="s">
        <v>155</v>
      </c>
      <c r="K8" s="21" t="s">
        <v>23</v>
      </c>
      <c r="L8" s="13" t="s">
        <v>34</v>
      </c>
      <c r="M8" s="21" t="s">
        <v>30</v>
      </c>
      <c r="N8" s="13" t="s">
        <v>91</v>
      </c>
      <c r="O8" s="13" t="s">
        <v>161</v>
      </c>
      <c r="P8" s="21" t="s">
        <v>152</v>
      </c>
    </row>
    <row r="9" spans="1:18" ht="75" x14ac:dyDescent="0.25">
      <c r="A9" s="3" t="s">
        <v>221</v>
      </c>
      <c r="D9" s="3" t="s">
        <v>92</v>
      </c>
      <c r="E9" s="17" t="s">
        <v>93</v>
      </c>
      <c r="F9" s="13" t="s">
        <v>177</v>
      </c>
      <c r="G9" s="18" t="s">
        <v>61</v>
      </c>
      <c r="H9" s="13" t="s">
        <v>158</v>
      </c>
      <c r="I9" s="21" t="s">
        <v>37</v>
      </c>
      <c r="J9" s="13" t="s">
        <v>155</v>
      </c>
      <c r="K9" s="21" t="s">
        <v>23</v>
      </c>
      <c r="L9" s="13" t="s">
        <v>34</v>
      </c>
      <c r="M9" s="21" t="s">
        <v>30</v>
      </c>
      <c r="N9" s="13" t="s">
        <v>94</v>
      </c>
      <c r="O9" s="13" t="s">
        <v>161</v>
      </c>
      <c r="P9" s="21" t="s">
        <v>152</v>
      </c>
    </row>
    <row r="10" spans="1:18" ht="60" x14ac:dyDescent="0.25">
      <c r="A10" s="3" t="s">
        <v>222</v>
      </c>
      <c r="D10" s="3" t="s">
        <v>95</v>
      </c>
      <c r="E10" s="17" t="s">
        <v>96</v>
      </c>
      <c r="F10" s="13" t="s">
        <v>177</v>
      </c>
      <c r="G10" s="18" t="s">
        <v>61</v>
      </c>
      <c r="H10" s="13" t="s">
        <v>158</v>
      </c>
      <c r="I10" s="21" t="s">
        <v>37</v>
      </c>
      <c r="J10" s="13" t="s">
        <v>155</v>
      </c>
      <c r="K10" s="21" t="s">
        <v>23</v>
      </c>
      <c r="L10" s="13" t="s">
        <v>34</v>
      </c>
      <c r="M10" s="21" t="s">
        <v>30</v>
      </c>
      <c r="N10" s="13" t="s">
        <v>97</v>
      </c>
      <c r="O10" s="13" t="s">
        <v>161</v>
      </c>
      <c r="P10" s="21" t="s">
        <v>152</v>
      </c>
    </row>
  </sheetData>
  <hyperlinks>
    <hyperlink ref="Q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
  <sheetViews>
    <sheetView tabSelected="1" topLeftCell="D1" workbookViewId="0">
      <pane ySplit="3" topLeftCell="A4" activePane="bottomLeft" state="frozenSplit"/>
      <selection pane="bottomLeft" activeCell="N26" sqref="N26"/>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7.42578125" style="21" customWidth="1"/>
    <col min="14" max="14" width="21.28515625" style="13" customWidth="1"/>
    <col min="15" max="20" width="11.140625" style="13" customWidth="1"/>
  </cols>
  <sheetData>
    <row r="1" spans="1:20" x14ac:dyDescent="0.25">
      <c r="E1" s="22"/>
      <c r="G1" s="22"/>
      <c r="I1" s="22"/>
      <c r="K1" s="22"/>
      <c r="M1" s="22"/>
    </row>
    <row r="2" spans="1:20" x14ac:dyDescent="0.25">
      <c r="E2" s="22"/>
      <c r="G2" s="22"/>
      <c r="I2" s="22"/>
      <c r="K2" s="22"/>
      <c r="M2" s="22"/>
    </row>
    <row r="3" spans="1:20" s="1" customFormat="1" ht="34.5" customHeight="1" x14ac:dyDescent="0.25">
      <c r="A3" s="11" t="s">
        <v>1</v>
      </c>
      <c r="B3" s="11" t="s">
        <v>2</v>
      </c>
      <c r="C3" s="11" t="s">
        <v>3</v>
      </c>
      <c r="D3" s="11" t="s">
        <v>8</v>
      </c>
      <c r="E3" s="23" t="s">
        <v>99</v>
      </c>
      <c r="F3" s="11" t="s">
        <v>72</v>
      </c>
      <c r="G3" s="23" t="s">
        <v>98</v>
      </c>
      <c r="H3" s="11" t="s">
        <v>22</v>
      </c>
      <c r="I3" s="23" t="s">
        <v>100</v>
      </c>
      <c r="J3" s="11" t="s">
        <v>190</v>
      </c>
      <c r="K3" s="23" t="s">
        <v>191</v>
      </c>
      <c r="L3" s="11" t="s">
        <v>11</v>
      </c>
      <c r="M3" s="23" t="s">
        <v>31</v>
      </c>
      <c r="N3" s="11" t="s">
        <v>227</v>
      </c>
      <c r="O3" s="11"/>
      <c r="P3" s="11"/>
      <c r="Q3" s="11"/>
      <c r="R3" s="11"/>
      <c r="S3" s="11"/>
      <c r="T3" s="11"/>
    </row>
    <row r="4" spans="1:20" s="31" customFormat="1" ht="30" customHeight="1" x14ac:dyDescent="0.25">
      <c r="A4" s="26" t="s">
        <v>184</v>
      </c>
      <c r="B4" s="26" t="s">
        <v>106</v>
      </c>
      <c r="C4" s="26" t="s">
        <v>107</v>
      </c>
      <c r="D4" s="26" t="s">
        <v>185</v>
      </c>
      <c r="E4" s="37" t="s">
        <v>108</v>
      </c>
      <c r="F4" s="26">
        <v>1</v>
      </c>
      <c r="G4" s="37" t="s">
        <v>67</v>
      </c>
      <c r="H4" s="26"/>
      <c r="I4" s="37"/>
      <c r="J4" s="42" t="s">
        <v>199</v>
      </c>
      <c r="K4" s="37" t="s">
        <v>200</v>
      </c>
      <c r="L4" s="26" t="s">
        <v>111</v>
      </c>
      <c r="M4" s="37" t="s">
        <v>120</v>
      </c>
      <c r="N4" s="26" t="s">
        <v>232</v>
      </c>
      <c r="O4" s="26"/>
      <c r="P4" s="26"/>
      <c r="Q4" s="26"/>
      <c r="R4" s="26"/>
      <c r="S4" s="26"/>
      <c r="T4" s="26"/>
    </row>
    <row r="5" spans="1:20" s="31" customFormat="1" ht="30" customHeight="1" x14ac:dyDescent="0.25">
      <c r="A5" s="26" t="s">
        <v>307</v>
      </c>
      <c r="B5" s="26" t="s">
        <v>308</v>
      </c>
      <c r="C5" s="26" t="s">
        <v>309</v>
      </c>
      <c r="D5" s="26" t="s">
        <v>185</v>
      </c>
      <c r="E5" s="37" t="s">
        <v>108</v>
      </c>
      <c r="F5" s="26">
        <v>1</v>
      </c>
      <c r="G5" s="37" t="s">
        <v>67</v>
      </c>
      <c r="H5" s="26" t="s">
        <v>184</v>
      </c>
      <c r="I5" s="37" t="s">
        <v>106</v>
      </c>
      <c r="J5" s="42"/>
      <c r="K5" s="37"/>
      <c r="L5" s="26"/>
      <c r="M5" s="37"/>
      <c r="N5" s="26"/>
      <c r="O5" s="26"/>
      <c r="P5" s="26"/>
      <c r="Q5" s="26"/>
      <c r="R5" s="26"/>
      <c r="S5" s="26"/>
      <c r="T5" s="26"/>
    </row>
    <row r="6" spans="1:20" x14ac:dyDescent="0.25">
      <c r="A6" s="13" t="s">
        <v>155</v>
      </c>
      <c r="B6" s="13" t="s">
        <v>23</v>
      </c>
      <c r="C6" s="13" t="s">
        <v>24</v>
      </c>
      <c r="D6" s="13" t="s">
        <v>157</v>
      </c>
      <c r="E6" s="21" t="s">
        <v>18</v>
      </c>
      <c r="F6" s="13">
        <v>1</v>
      </c>
      <c r="G6" s="21" t="s">
        <v>67</v>
      </c>
    </row>
  </sheetData>
  <hyperlinks>
    <hyperlink ref="J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topLeftCell="B1" zoomScaleNormal="100" workbookViewId="0">
      <pane ySplit="3" topLeftCell="A4" activePane="bottomLeft" state="frozenSplit"/>
      <selection pane="bottomLeft" activeCell="I5" sqref="I5"/>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32" customWidth="1"/>
    <col min="9" max="9" width="19.140625" style="32" customWidth="1"/>
    <col min="10" max="11" width="20.42578125" style="32" customWidth="1"/>
    <col min="12" max="12" width="20.42578125" style="55" customWidth="1"/>
    <col min="13" max="13" width="20.42578125" style="32" customWidth="1"/>
    <col min="14" max="14" width="64.85546875" style="13" customWidth="1"/>
    <col min="15" max="16384" width="9.140625" style="13"/>
  </cols>
  <sheetData>
    <row r="1" spans="1:14" x14ac:dyDescent="0.25">
      <c r="L1" s="34"/>
    </row>
    <row r="2" spans="1:14" x14ac:dyDescent="0.25">
      <c r="L2" s="34"/>
    </row>
    <row r="3" spans="1:14" s="11" customFormat="1" ht="13.5" customHeight="1" x14ac:dyDescent="0.25">
      <c r="A3" s="2" t="s">
        <v>1</v>
      </c>
      <c r="B3" s="2" t="s">
        <v>2</v>
      </c>
      <c r="C3" s="2" t="s">
        <v>3</v>
      </c>
      <c r="D3" s="7" t="s">
        <v>229</v>
      </c>
      <c r="E3" s="7" t="s">
        <v>230</v>
      </c>
      <c r="F3" s="7" t="s">
        <v>231</v>
      </c>
      <c r="G3" s="33" t="s">
        <v>6</v>
      </c>
      <c r="H3" s="33" t="s">
        <v>7</v>
      </c>
      <c r="I3" s="33" t="s">
        <v>190</v>
      </c>
      <c r="J3" s="33" t="s">
        <v>191</v>
      </c>
      <c r="K3" s="11" t="s">
        <v>11</v>
      </c>
      <c r="L3" s="23" t="s">
        <v>31</v>
      </c>
      <c r="M3" s="11" t="s">
        <v>227</v>
      </c>
      <c r="N3" s="11" t="s">
        <v>16</v>
      </c>
    </row>
    <row r="4" spans="1:14" s="26" customFormat="1" ht="48.75" customHeight="1" x14ac:dyDescent="0.25">
      <c r="A4" s="25" t="s">
        <v>185</v>
      </c>
      <c r="B4" s="25" t="s">
        <v>108</v>
      </c>
      <c r="C4" s="25" t="s">
        <v>109</v>
      </c>
      <c r="D4" s="28" t="s">
        <v>20</v>
      </c>
      <c r="E4" s="28" t="s">
        <v>15</v>
      </c>
      <c r="F4" s="48" t="s">
        <v>15</v>
      </c>
      <c r="G4" s="45">
        <v>51.207391000000001</v>
      </c>
      <c r="H4" s="45">
        <v>-2.994224</v>
      </c>
      <c r="I4" s="56" t="s">
        <v>310</v>
      </c>
      <c r="J4" s="45" t="s">
        <v>201</v>
      </c>
      <c r="K4" s="45" t="s">
        <v>111</v>
      </c>
      <c r="L4" s="54" t="s">
        <v>120</v>
      </c>
      <c r="M4" s="45" t="s">
        <v>232</v>
      </c>
    </row>
    <row r="5" spans="1:14" ht="45" x14ac:dyDescent="0.25">
      <c r="A5" s="3" t="s">
        <v>156</v>
      </c>
      <c r="B5" s="3" t="s">
        <v>12</v>
      </c>
      <c r="C5" s="3" t="s">
        <v>13</v>
      </c>
      <c r="D5" s="47"/>
      <c r="F5" s="9" t="s">
        <v>15</v>
      </c>
      <c r="G5" s="32">
        <v>51.207391000000001</v>
      </c>
      <c r="H5" s="32">
        <v>-3.131564</v>
      </c>
      <c r="N5" s="3" t="s">
        <v>17</v>
      </c>
    </row>
    <row r="6" spans="1:14" ht="49.5" customHeight="1" x14ac:dyDescent="0.25">
      <c r="A6" s="3" t="s">
        <v>157</v>
      </c>
      <c r="B6" s="3" t="s">
        <v>18</v>
      </c>
      <c r="C6" s="3" t="s">
        <v>19</v>
      </c>
      <c r="D6" s="9" t="s">
        <v>20</v>
      </c>
      <c r="E6" s="9" t="s">
        <v>21</v>
      </c>
      <c r="G6" s="32">
        <v>51.131936000000003</v>
      </c>
      <c r="H6" s="32">
        <v>-2.994224</v>
      </c>
      <c r="N6" s="53"/>
    </row>
    <row r="7" spans="1:14" ht="45" x14ac:dyDescent="0.25">
      <c r="A7" s="3" t="s">
        <v>234</v>
      </c>
      <c r="B7" s="3" t="s">
        <v>235</v>
      </c>
      <c r="C7" s="3" t="s">
        <v>236</v>
      </c>
      <c r="D7" s="47" t="s">
        <v>14</v>
      </c>
      <c r="F7" s="9" t="s">
        <v>15</v>
      </c>
      <c r="G7" s="32">
        <v>51.207391000000001</v>
      </c>
      <c r="H7" s="32">
        <v>-3.131564</v>
      </c>
    </row>
    <row r="8" spans="1:14" ht="45" x14ac:dyDescent="0.25">
      <c r="A8" s="3" t="s">
        <v>237</v>
      </c>
      <c r="B8" s="3" t="s">
        <v>287</v>
      </c>
      <c r="C8" s="3" t="s">
        <v>288</v>
      </c>
      <c r="D8" s="9" t="s">
        <v>289</v>
      </c>
      <c r="E8" s="9" t="s">
        <v>290</v>
      </c>
      <c r="G8" s="32">
        <v>51.158552</v>
      </c>
      <c r="H8" s="32">
        <v>-3.0761280000000002</v>
      </c>
    </row>
  </sheetData>
  <hyperlinks>
    <hyperlink ref="F4" r:id="rId1"/>
    <hyperlink ref="D7" r:id="rId2"/>
    <hyperlink ref="I4"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8"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7"/>
  <sheetViews>
    <sheetView workbookViewId="0">
      <pane ySplit="3" topLeftCell="A4" activePane="bottomLeft" state="frozenSplit"/>
      <selection pane="bottomLeft" activeCell="I3" sqref="I3"/>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31</v>
      </c>
      <c r="F3" s="11" t="s">
        <v>227</v>
      </c>
      <c r="G3" s="11" t="s">
        <v>303</v>
      </c>
      <c r="H3" s="23" t="s">
        <v>320</v>
      </c>
      <c r="I3" s="11" t="s">
        <v>140</v>
      </c>
      <c r="J3" s="23" t="s">
        <v>141</v>
      </c>
      <c r="K3" s="2" t="s">
        <v>41</v>
      </c>
      <c r="L3" s="24" t="s">
        <v>101</v>
      </c>
      <c r="M3" s="2" t="s">
        <v>42</v>
      </c>
      <c r="N3" s="2" t="s">
        <v>43</v>
      </c>
      <c r="O3" s="2" t="s">
        <v>44</v>
      </c>
      <c r="P3" s="2" t="s">
        <v>45</v>
      </c>
      <c r="Q3" s="2" t="s">
        <v>38</v>
      </c>
      <c r="R3" s="24" t="s">
        <v>102</v>
      </c>
      <c r="S3" s="24" t="s">
        <v>142</v>
      </c>
      <c r="T3" s="24" t="s">
        <v>143</v>
      </c>
      <c r="U3" s="24" t="s">
        <v>144</v>
      </c>
      <c r="V3" s="24" t="s">
        <v>145</v>
      </c>
      <c r="W3" s="24" t="s">
        <v>190</v>
      </c>
      <c r="X3" s="24" t="s">
        <v>191</v>
      </c>
      <c r="Y3" s="7" t="s">
        <v>16</v>
      </c>
      <c r="Z3" s="7"/>
      <c r="AA3" s="8"/>
      <c r="AB3" s="5"/>
      <c r="AC3" s="5"/>
    </row>
    <row r="4" spans="1:29" s="31" customFormat="1" ht="32.25" customHeight="1" x14ac:dyDescent="0.25">
      <c r="A4" s="25" t="s">
        <v>186</v>
      </c>
      <c r="B4" s="25" t="s">
        <v>103</v>
      </c>
      <c r="C4" s="25" t="s">
        <v>104</v>
      </c>
      <c r="D4" s="26" t="s">
        <v>34</v>
      </c>
      <c r="E4" s="37" t="s">
        <v>30</v>
      </c>
      <c r="F4" s="26" t="s">
        <v>105</v>
      </c>
      <c r="G4" s="26" t="s">
        <v>280</v>
      </c>
      <c r="H4" s="37" t="s">
        <v>281</v>
      </c>
      <c r="I4" s="26" t="s">
        <v>183</v>
      </c>
      <c r="J4" s="37" t="s">
        <v>117</v>
      </c>
      <c r="K4" s="25" t="s">
        <v>218</v>
      </c>
      <c r="L4" s="38" t="s">
        <v>110</v>
      </c>
      <c r="M4" s="25" t="s">
        <v>113</v>
      </c>
      <c r="N4" s="25" t="s">
        <v>112</v>
      </c>
      <c r="O4" s="25" t="s">
        <v>114</v>
      </c>
      <c r="P4" s="25" t="s">
        <v>146</v>
      </c>
      <c r="Q4" s="25"/>
      <c r="R4" s="38" t="s">
        <v>314</v>
      </c>
      <c r="S4" s="27" t="s">
        <v>188</v>
      </c>
      <c r="T4" s="38" t="s">
        <v>134</v>
      </c>
      <c r="U4" s="27" t="s">
        <v>188</v>
      </c>
      <c r="V4" s="38" t="s">
        <v>134</v>
      </c>
      <c r="W4" s="43" t="s">
        <v>202</v>
      </c>
      <c r="X4" s="27" t="s">
        <v>216</v>
      </c>
      <c r="Y4" s="28"/>
      <c r="Z4" s="28"/>
      <c r="AA4" s="29"/>
      <c r="AB4" s="30"/>
      <c r="AC4" s="30"/>
    </row>
    <row r="5" spans="1:29" s="31" customFormat="1" ht="32.25" customHeight="1" x14ac:dyDescent="0.25">
      <c r="A5" s="25" t="s">
        <v>187</v>
      </c>
      <c r="B5" s="25" t="s">
        <v>147</v>
      </c>
      <c r="C5" s="25" t="s">
        <v>148</v>
      </c>
      <c r="D5" s="26" t="s">
        <v>111</v>
      </c>
      <c r="E5" s="37" t="s">
        <v>120</v>
      </c>
      <c r="F5" s="26"/>
      <c r="G5" s="26"/>
      <c r="H5" s="37"/>
      <c r="I5" s="26" t="s">
        <v>183</v>
      </c>
      <c r="J5" s="37" t="s">
        <v>117</v>
      </c>
      <c r="K5" s="25" t="s">
        <v>218</v>
      </c>
      <c r="L5" s="38" t="s">
        <v>110</v>
      </c>
      <c r="M5" s="25"/>
      <c r="N5" s="25"/>
      <c r="O5" s="25"/>
      <c r="P5" s="25"/>
      <c r="Q5" s="25" t="s">
        <v>186</v>
      </c>
      <c r="R5" s="38" t="s">
        <v>103</v>
      </c>
      <c r="S5" s="27" t="s">
        <v>188</v>
      </c>
      <c r="T5" s="38" t="s">
        <v>134</v>
      </c>
      <c r="U5" s="27"/>
      <c r="V5" s="38"/>
      <c r="W5" s="27"/>
      <c r="X5" s="27"/>
      <c r="Y5" s="28"/>
      <c r="Z5" s="28"/>
      <c r="AA5" s="29"/>
      <c r="AB5" s="30"/>
      <c r="AC5" s="30"/>
    </row>
    <row r="6" spans="1:29" ht="60" x14ac:dyDescent="0.25">
      <c r="A6" s="13" t="s">
        <v>158</v>
      </c>
      <c r="B6" s="13" t="s">
        <v>37</v>
      </c>
      <c r="C6" s="13" t="s">
        <v>36</v>
      </c>
      <c r="U6" s="22" t="s">
        <v>160</v>
      </c>
      <c r="V6" s="21" t="s">
        <v>136</v>
      </c>
    </row>
    <row r="7" spans="1:29" ht="60" x14ac:dyDescent="0.25">
      <c r="A7" s="13" t="s">
        <v>159</v>
      </c>
      <c r="B7" s="13" t="s">
        <v>39</v>
      </c>
      <c r="C7" s="13" t="s">
        <v>40</v>
      </c>
      <c r="G7" s="13" t="s">
        <v>285</v>
      </c>
      <c r="H7" s="21" t="s">
        <v>238</v>
      </c>
      <c r="Q7" s="13" t="s">
        <v>158</v>
      </c>
      <c r="R7" s="21" t="s">
        <v>37</v>
      </c>
    </row>
  </sheetData>
  <hyperlinks>
    <hyperlink ref="W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5"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4"/>
  <sheetViews>
    <sheetView topLeftCell="D1" workbookViewId="0">
      <pane ySplit="3" topLeftCell="A4" activePane="bottomLeft" state="frozenSplit"/>
      <selection pane="bottomLeft" activeCell="M5" sqref="M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6"/>
      <c r="F1" s="9"/>
      <c r="G1" s="9"/>
      <c r="H1" s="36"/>
      <c r="I1" s="36"/>
      <c r="J1" s="36"/>
      <c r="K1" s="36"/>
      <c r="L1" s="36"/>
      <c r="M1" s="36"/>
      <c r="N1" s="36"/>
      <c r="O1" s="32"/>
      <c r="P1" s="34"/>
      <c r="Q1" s="32"/>
      <c r="R1" s="32"/>
      <c r="S1" s="32"/>
    </row>
    <row r="2" spans="1:20" x14ac:dyDescent="0.25">
      <c r="A2" s="3"/>
      <c r="B2" s="3"/>
      <c r="C2" s="3"/>
      <c r="D2" s="9"/>
      <c r="E2" s="36"/>
      <c r="F2" s="9"/>
      <c r="G2" s="9"/>
      <c r="H2" s="36"/>
      <c r="I2" s="36"/>
      <c r="J2" s="36"/>
      <c r="K2" s="36"/>
      <c r="L2" s="36"/>
      <c r="M2" s="36"/>
      <c r="N2" s="36"/>
      <c r="O2" s="32"/>
      <c r="P2" s="34"/>
      <c r="Q2" s="32"/>
      <c r="R2" s="32"/>
      <c r="S2" s="32"/>
    </row>
    <row r="3" spans="1:20" s="11" customFormat="1" ht="32.25" customHeight="1" x14ac:dyDescent="0.25">
      <c r="A3" s="2" t="s">
        <v>1</v>
      </c>
      <c r="B3" s="2" t="s">
        <v>2</v>
      </c>
      <c r="C3" s="2" t="s">
        <v>3</v>
      </c>
      <c r="D3" s="11" t="s">
        <v>11</v>
      </c>
      <c r="E3" s="23" t="s">
        <v>31</v>
      </c>
      <c r="F3" s="11" t="s">
        <v>227</v>
      </c>
      <c r="G3" s="11" t="s">
        <v>128</v>
      </c>
      <c r="H3" s="23" t="s">
        <v>129</v>
      </c>
      <c r="I3" s="23" t="s">
        <v>130</v>
      </c>
      <c r="J3" s="23" t="s">
        <v>131</v>
      </c>
      <c r="K3" s="23" t="s">
        <v>138</v>
      </c>
      <c r="L3" s="23" t="s">
        <v>139</v>
      </c>
      <c r="M3" s="23" t="s">
        <v>322</v>
      </c>
      <c r="N3" s="23" t="s">
        <v>323</v>
      </c>
      <c r="O3" s="33" t="s">
        <v>41</v>
      </c>
      <c r="P3" s="35" t="s">
        <v>101</v>
      </c>
      <c r="Q3" s="33" t="s">
        <v>116</v>
      </c>
      <c r="R3" s="33" t="s">
        <v>190</v>
      </c>
      <c r="S3" s="33" t="s">
        <v>191</v>
      </c>
      <c r="T3" s="11" t="s">
        <v>16</v>
      </c>
    </row>
    <row r="4" spans="1:20" ht="45" x14ac:dyDescent="0.25">
      <c r="A4" s="13" t="s">
        <v>183</v>
      </c>
      <c r="B4" s="13" t="s">
        <v>117</v>
      </c>
      <c r="C4" s="13" t="s">
        <v>121</v>
      </c>
      <c r="D4" s="13" t="s">
        <v>111</v>
      </c>
      <c r="E4" s="21" t="s">
        <v>120</v>
      </c>
      <c r="F4" s="13" t="s">
        <v>122</v>
      </c>
      <c r="G4" s="13" t="s">
        <v>189</v>
      </c>
      <c r="H4" s="21" t="s">
        <v>126</v>
      </c>
      <c r="I4" s="22" t="s">
        <v>189</v>
      </c>
      <c r="J4" s="21" t="s">
        <v>126</v>
      </c>
      <c r="K4" s="22" t="s">
        <v>188</v>
      </c>
      <c r="L4" s="21" t="s">
        <v>134</v>
      </c>
      <c r="M4" s="22" t="s">
        <v>184</v>
      </c>
      <c r="N4" s="21" t="s">
        <v>106</v>
      </c>
      <c r="O4" s="13" t="s">
        <v>218</v>
      </c>
      <c r="P4" s="21" t="s">
        <v>110</v>
      </c>
      <c r="Q4" s="13" t="s">
        <v>124</v>
      </c>
      <c r="R4" s="41" t="s">
        <v>203</v>
      </c>
      <c r="S4" s="13" t="s">
        <v>204</v>
      </c>
    </row>
  </sheetData>
  <dataValidations count="1">
    <dataValidation type="list" allowBlank="1" showInputMessage="1" showErrorMessage="1" sqref="Q1:Q1048576">
      <formula1>ProposalStatusValues</formula1>
    </dataValidation>
  </dataValidations>
  <hyperlinks>
    <hyperlink ref="R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5"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6"/>
  <sheetViews>
    <sheetView workbookViewId="0">
      <selection activeCell="C5" sqref="C5"/>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31</v>
      </c>
      <c r="F3" s="11" t="s">
        <v>227</v>
      </c>
      <c r="G3" s="11" t="s">
        <v>190</v>
      </c>
      <c r="H3" s="24" t="s">
        <v>191</v>
      </c>
      <c r="J3" s="23"/>
      <c r="L3" s="23"/>
      <c r="N3" s="23"/>
    </row>
    <row r="4" spans="1:14" ht="30" x14ac:dyDescent="0.25">
      <c r="A4" s="13" t="s">
        <v>188</v>
      </c>
      <c r="B4" s="13" t="s">
        <v>134</v>
      </c>
      <c r="C4" s="13" t="s">
        <v>135</v>
      </c>
      <c r="D4" s="13" t="s">
        <v>111</v>
      </c>
      <c r="E4" s="13" t="s">
        <v>120</v>
      </c>
    </row>
    <row r="5" spans="1:14" ht="45" x14ac:dyDescent="0.25">
      <c r="A5" s="13" t="s">
        <v>315</v>
      </c>
      <c r="B5" s="13" t="s">
        <v>316</v>
      </c>
      <c r="C5" s="13" t="s">
        <v>321</v>
      </c>
      <c r="D5" s="13" t="s">
        <v>111</v>
      </c>
      <c r="E5" s="13" t="s">
        <v>120</v>
      </c>
      <c r="F5" s="13" t="s">
        <v>317</v>
      </c>
      <c r="G5" s="41" t="s">
        <v>205</v>
      </c>
      <c r="H5" s="13" t="s">
        <v>206</v>
      </c>
    </row>
    <row r="6" spans="1:14" ht="48" customHeight="1" x14ac:dyDescent="0.25">
      <c r="A6" s="13" t="s">
        <v>160</v>
      </c>
      <c r="B6" s="13" t="s">
        <v>136</v>
      </c>
      <c r="C6" s="13" t="s">
        <v>137</v>
      </c>
      <c r="G6" s="41"/>
    </row>
  </sheetData>
  <hyperlinks>
    <hyperlink ref="G5"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5"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5"/>
  <sheetViews>
    <sheetView workbookViewId="0">
      <pane ySplit="3" topLeftCell="A4" activePane="bottomLeft" state="frozenSplit"/>
      <selection pane="bottomLeft" activeCell="F5" sqref="F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9"/>
      <c r="F1" s="49"/>
      <c r="G1" s="49"/>
      <c r="I1" s="19"/>
      <c r="K1" s="22"/>
      <c r="M1" s="22"/>
      <c r="O1" s="22"/>
    </row>
    <row r="2" spans="1:15" x14ac:dyDescent="0.25">
      <c r="A2" s="3"/>
      <c r="B2" s="3"/>
      <c r="C2" s="17"/>
      <c r="D2" s="17"/>
      <c r="E2" s="49"/>
      <c r="F2" s="49"/>
      <c r="G2" s="49"/>
      <c r="K2" s="22"/>
      <c r="M2" s="22"/>
      <c r="O2" s="22"/>
    </row>
    <row r="3" spans="1:15" s="11" customFormat="1" ht="34.5" customHeight="1" x14ac:dyDescent="0.25">
      <c r="A3" s="2" t="s">
        <v>1</v>
      </c>
      <c r="B3" s="2" t="s">
        <v>2</v>
      </c>
      <c r="C3" s="16" t="s">
        <v>3</v>
      </c>
      <c r="D3" s="16" t="s">
        <v>8</v>
      </c>
      <c r="E3" s="50" t="s">
        <v>99</v>
      </c>
      <c r="F3" s="50" t="s">
        <v>299</v>
      </c>
      <c r="G3" s="50" t="s">
        <v>300</v>
      </c>
      <c r="H3" s="11" t="s">
        <v>190</v>
      </c>
      <c r="I3" s="19" t="s">
        <v>191</v>
      </c>
      <c r="J3" s="11" t="s">
        <v>11</v>
      </c>
      <c r="K3" s="23" t="s">
        <v>31</v>
      </c>
      <c r="L3" s="11" t="s">
        <v>227</v>
      </c>
      <c r="M3" s="23"/>
      <c r="O3" s="23"/>
    </row>
    <row r="4" spans="1:15" ht="30.75" customHeight="1" x14ac:dyDescent="0.25">
      <c r="A4" s="13" t="s">
        <v>280</v>
      </c>
      <c r="B4" s="13" t="s">
        <v>281</v>
      </c>
      <c r="C4" s="13" t="s">
        <v>282</v>
      </c>
      <c r="D4" s="13" t="s">
        <v>185</v>
      </c>
      <c r="E4" s="21" t="s">
        <v>108</v>
      </c>
      <c r="F4" s="22" t="s">
        <v>296</v>
      </c>
      <c r="G4" s="21" t="s">
        <v>297</v>
      </c>
      <c r="H4" s="41" t="s">
        <v>283</v>
      </c>
      <c r="I4" s="13" t="s">
        <v>284</v>
      </c>
      <c r="J4" s="13" t="s">
        <v>111</v>
      </c>
      <c r="K4" s="21" t="s">
        <v>120</v>
      </c>
      <c r="L4" s="13" t="s">
        <v>250</v>
      </c>
    </row>
    <row r="5" spans="1:15" ht="30" x14ac:dyDescent="0.25">
      <c r="A5" s="13" t="s">
        <v>285</v>
      </c>
      <c r="B5" s="13" t="s">
        <v>238</v>
      </c>
      <c r="C5" s="13" t="s">
        <v>286</v>
      </c>
      <c r="D5" s="13" t="s">
        <v>237</v>
      </c>
      <c r="E5" s="21" t="s">
        <v>287</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5"/>
  <sheetViews>
    <sheetView workbookViewId="0">
      <pane ySplit="3" topLeftCell="A4" activePane="bottomLeft" state="frozenSplit"/>
      <selection pane="bottomLeft" activeCell="E5" sqref="E5"/>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52"/>
      <c r="F1" s="9"/>
      <c r="G1" s="9" t="s">
        <v>241</v>
      </c>
      <c r="H1" s="9"/>
      <c r="I1" s="32"/>
      <c r="J1" s="32"/>
    </row>
    <row r="2" spans="1:10" ht="60" x14ac:dyDescent="0.25">
      <c r="A2" s="3"/>
      <c r="B2" s="3"/>
      <c r="C2" s="3"/>
      <c r="D2" s="3"/>
      <c r="E2" s="52"/>
      <c r="F2" s="9"/>
      <c r="G2" s="9" t="s">
        <v>295</v>
      </c>
      <c r="H2" s="9"/>
      <c r="I2" s="32"/>
      <c r="J2" s="32"/>
    </row>
    <row r="3" spans="1:10" s="11" customFormat="1" ht="13.5" customHeight="1" x14ac:dyDescent="0.25">
      <c r="A3" s="2" t="s">
        <v>1</v>
      </c>
      <c r="B3" s="2" t="s">
        <v>2</v>
      </c>
      <c r="C3" s="2" t="s">
        <v>304</v>
      </c>
      <c r="D3" s="2" t="s">
        <v>190</v>
      </c>
      <c r="E3" s="51" t="s">
        <v>191</v>
      </c>
      <c r="F3" s="7" t="s">
        <v>16</v>
      </c>
      <c r="G3" s="7"/>
      <c r="H3" s="7"/>
      <c r="I3" s="33"/>
      <c r="J3" s="33"/>
    </row>
    <row r="4" spans="1:10" ht="45" x14ac:dyDescent="0.25">
      <c r="A4" s="13" t="s">
        <v>291</v>
      </c>
      <c r="B4" s="13" t="s">
        <v>292</v>
      </c>
      <c r="C4" s="13" t="s">
        <v>293</v>
      </c>
      <c r="D4" s="41" t="s">
        <v>294</v>
      </c>
      <c r="E4" s="13" t="s">
        <v>318</v>
      </c>
    </row>
    <row r="5" spans="1:10" ht="30" x14ac:dyDescent="0.25">
      <c r="A5" s="13" t="s">
        <v>296</v>
      </c>
      <c r="B5" s="13" t="s">
        <v>297</v>
      </c>
      <c r="C5" s="13" t="s">
        <v>298</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M5"/>
  <sheetViews>
    <sheetView topLeftCell="D1" workbookViewId="0">
      <pane ySplit="3" topLeftCell="A4" activePane="bottomLeft" state="frozenSplit"/>
      <selection pane="bottomLeft" sqref="A1:XFD3"/>
    </sheetView>
  </sheetViews>
  <sheetFormatPr defaultRowHeight="15" x14ac:dyDescent="0.25"/>
  <cols>
    <col min="1" max="1" width="16.42578125" style="13" customWidth="1"/>
    <col min="2" max="2" width="14.42578125" style="13" customWidth="1"/>
    <col min="3" max="4" width="26.140625" style="13" customWidth="1"/>
    <col min="5" max="5" width="26.140625" style="21" customWidth="1"/>
    <col min="6" max="6" width="22.28515625" style="13" customWidth="1"/>
    <col min="7" max="7" width="22" style="13" customWidth="1"/>
    <col min="8" max="8" width="13.5703125" style="13" customWidth="1"/>
    <col min="9" max="9" width="18.7109375" style="13" customWidth="1"/>
    <col min="10" max="10" width="17.42578125" style="13" customWidth="1"/>
    <col min="11" max="16384" width="9.140625" style="13"/>
  </cols>
  <sheetData>
    <row r="1" spans="1:13" x14ac:dyDescent="0.25">
      <c r="A1" s="3"/>
      <c r="B1" s="3"/>
      <c r="C1" s="17"/>
      <c r="D1" s="17"/>
      <c r="E1" s="49"/>
      <c r="G1" s="19"/>
      <c r="I1" s="22"/>
      <c r="K1" s="22"/>
      <c r="M1" s="22"/>
    </row>
    <row r="2" spans="1:13" x14ac:dyDescent="0.25">
      <c r="A2" s="3"/>
      <c r="B2" s="3"/>
      <c r="C2" s="17"/>
      <c r="D2" s="17"/>
      <c r="E2" s="49"/>
      <c r="I2" s="22"/>
      <c r="K2" s="22"/>
      <c r="M2" s="22"/>
    </row>
    <row r="3" spans="1:13" s="11" customFormat="1" ht="34.5" customHeight="1" x14ac:dyDescent="0.25">
      <c r="A3" s="2" t="s">
        <v>1</v>
      </c>
      <c r="B3" s="2" t="s">
        <v>2</v>
      </c>
      <c r="C3" s="16" t="s">
        <v>3</v>
      </c>
      <c r="D3" s="16" t="s">
        <v>239</v>
      </c>
      <c r="E3" s="50" t="s">
        <v>240</v>
      </c>
      <c r="F3" s="11" t="s">
        <v>190</v>
      </c>
      <c r="G3" s="19" t="s">
        <v>191</v>
      </c>
      <c r="H3" s="11" t="s">
        <v>11</v>
      </c>
      <c r="I3" s="23" t="s">
        <v>31</v>
      </c>
      <c r="J3" s="11" t="s">
        <v>227</v>
      </c>
      <c r="K3" s="23"/>
      <c r="M3" s="23"/>
    </row>
    <row r="4" spans="1:13" ht="30" x14ac:dyDescent="0.25">
      <c r="A4" s="13" t="s">
        <v>189</v>
      </c>
      <c r="B4" s="13" t="s">
        <v>126</v>
      </c>
      <c r="C4" s="13" t="s">
        <v>127</v>
      </c>
      <c r="D4" s="3" t="s">
        <v>268</v>
      </c>
      <c r="E4" s="21" t="s">
        <v>245</v>
      </c>
      <c r="F4" s="41" t="s">
        <v>192</v>
      </c>
      <c r="G4" s="13" t="s">
        <v>193</v>
      </c>
      <c r="H4" s="13" t="s">
        <v>111</v>
      </c>
      <c r="I4" s="13" t="s">
        <v>120</v>
      </c>
      <c r="J4" s="13" t="s">
        <v>233</v>
      </c>
    </row>
    <row r="5" spans="1:13" ht="45" x14ac:dyDescent="0.25">
      <c r="A5" s="13" t="s">
        <v>161</v>
      </c>
      <c r="B5" s="13" t="s">
        <v>152</v>
      </c>
      <c r="C5" s="13" t="s">
        <v>153</v>
      </c>
      <c r="D5" s="13" t="s">
        <v>273</v>
      </c>
      <c r="E5" s="21" t="s">
        <v>263</v>
      </c>
      <c r="F5" s="41" t="s">
        <v>194</v>
      </c>
      <c r="G5" s="13" t="s">
        <v>195</v>
      </c>
    </row>
  </sheetData>
  <hyperlinks>
    <hyperlink ref="F4" r:id="rId1"/>
    <hyperlink ref="F5"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6"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5"/>
  <sheetViews>
    <sheetView workbookViewId="0">
      <pane ySplit="3" topLeftCell="A4" activePane="bottomLeft" state="frozenSplit"/>
      <selection pane="bottomLeft" activeCell="C3" sqref="C3"/>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52"/>
      <c r="F1" s="9"/>
      <c r="G1" s="9" t="s">
        <v>241</v>
      </c>
      <c r="H1" s="9"/>
      <c r="I1" s="32"/>
      <c r="J1" s="32"/>
    </row>
    <row r="2" spans="1:10" ht="45" x14ac:dyDescent="0.25">
      <c r="B2" s="3"/>
      <c r="C2" s="3"/>
      <c r="D2" s="3"/>
      <c r="E2" s="52"/>
      <c r="F2" s="9"/>
      <c r="G2" s="9" t="s">
        <v>242</v>
      </c>
      <c r="H2" s="9"/>
      <c r="I2" s="32"/>
      <c r="J2" s="32"/>
    </row>
    <row r="3" spans="1:10" s="11" customFormat="1" ht="13.5" customHeight="1" x14ac:dyDescent="0.25">
      <c r="A3" s="2" t="s">
        <v>1</v>
      </c>
      <c r="B3" s="2" t="s">
        <v>2</v>
      </c>
      <c r="C3" s="2" t="s">
        <v>304</v>
      </c>
      <c r="D3" s="2" t="s">
        <v>190</v>
      </c>
      <c r="E3" s="51" t="s">
        <v>191</v>
      </c>
      <c r="F3" s="7" t="s">
        <v>16</v>
      </c>
      <c r="G3" s="7"/>
      <c r="H3" s="7"/>
      <c r="I3" s="33"/>
      <c r="J3" s="33"/>
    </row>
    <row r="4" spans="1:10" x14ac:dyDescent="0.25">
      <c r="A4" s="3" t="s">
        <v>267</v>
      </c>
      <c r="B4" s="13" t="s">
        <v>243</v>
      </c>
    </row>
    <row r="5" spans="1:10" ht="30" x14ac:dyDescent="0.25">
      <c r="A5" s="3" t="s">
        <v>268</v>
      </c>
      <c r="B5" s="13" t="s">
        <v>245</v>
      </c>
      <c r="C5" s="13" t="s">
        <v>246</v>
      </c>
    </row>
    <row r="6" spans="1:10" ht="30" x14ac:dyDescent="0.25">
      <c r="A6" s="3" t="s">
        <v>269</v>
      </c>
      <c r="B6" s="13" t="s">
        <v>251</v>
      </c>
      <c r="C6" s="13" t="s">
        <v>252</v>
      </c>
    </row>
    <row r="7" spans="1:10" ht="30" x14ac:dyDescent="0.25">
      <c r="A7" s="3" t="s">
        <v>270</v>
      </c>
      <c r="B7" s="13" t="s">
        <v>257</v>
      </c>
      <c r="C7" s="13" t="s">
        <v>258</v>
      </c>
    </row>
    <row r="8" spans="1:10" ht="45" x14ac:dyDescent="0.25">
      <c r="A8" s="3" t="s">
        <v>271</v>
      </c>
      <c r="B8" s="13" t="s">
        <v>259</v>
      </c>
      <c r="C8" s="13" t="s">
        <v>260</v>
      </c>
    </row>
    <row r="9" spans="1:10" x14ac:dyDescent="0.25">
      <c r="A9" s="3" t="s">
        <v>272</v>
      </c>
      <c r="B9" s="13" t="s">
        <v>261</v>
      </c>
      <c r="C9" s="13" t="s">
        <v>262</v>
      </c>
    </row>
    <row r="10" spans="1:10" x14ac:dyDescent="0.25">
      <c r="A10" s="3" t="s">
        <v>273</v>
      </c>
      <c r="B10" s="13" t="s">
        <v>263</v>
      </c>
      <c r="C10" s="13" t="s">
        <v>264</v>
      </c>
    </row>
    <row r="11" spans="1:10" x14ac:dyDescent="0.25">
      <c r="A11" s="3" t="s">
        <v>274</v>
      </c>
      <c r="B11" s="13" t="s">
        <v>265</v>
      </c>
      <c r="C11" s="13" t="s">
        <v>266</v>
      </c>
    </row>
    <row r="12" spans="1:10" ht="30" x14ac:dyDescent="0.25">
      <c r="A12" s="3" t="s">
        <v>275</v>
      </c>
      <c r="B12" s="13" t="s">
        <v>253</v>
      </c>
      <c r="C12" s="13" t="s">
        <v>254</v>
      </c>
    </row>
    <row r="13" spans="1:10" ht="30" x14ac:dyDescent="0.25">
      <c r="A13" s="3" t="s">
        <v>276</v>
      </c>
      <c r="B13" s="13" t="s">
        <v>255</v>
      </c>
      <c r="C13" s="13" t="s">
        <v>256</v>
      </c>
    </row>
    <row r="14" spans="1:10" ht="45" x14ac:dyDescent="0.25">
      <c r="A14" s="3" t="s">
        <v>277</v>
      </c>
      <c r="B14" s="13" t="s">
        <v>247</v>
      </c>
      <c r="C14" s="13" t="s">
        <v>248</v>
      </c>
    </row>
    <row r="15" spans="1:10" x14ac:dyDescent="0.25">
      <c r="A15" s="3" t="s">
        <v>278</v>
      </c>
      <c r="B15" s="13" t="s">
        <v>244</v>
      </c>
      <c r="C15" s="13" t="s">
        <v>249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E5" sqref="E5"/>
    </sheetView>
  </sheetViews>
  <sheetFormatPr defaultRowHeight="15" x14ac:dyDescent="0.25"/>
  <cols>
    <col min="1" max="1" width="14.7109375" style="13" customWidth="1"/>
    <col min="2" max="2" width="26"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82</v>
      </c>
      <c r="I1" s="9"/>
      <c r="J1" s="32"/>
      <c r="K1" s="32"/>
    </row>
    <row r="2" spans="1:12" ht="30" x14ac:dyDescent="0.25">
      <c r="A2" s="3"/>
      <c r="B2" s="3"/>
      <c r="C2" s="3"/>
      <c r="D2" s="3"/>
      <c r="E2" s="3"/>
      <c r="F2" s="3"/>
      <c r="G2" s="9"/>
      <c r="H2" s="9" t="s">
        <v>83</v>
      </c>
      <c r="I2" s="9"/>
      <c r="J2" s="32"/>
      <c r="K2" s="32"/>
    </row>
    <row r="3" spans="1:12" s="11" customFormat="1" ht="13.5" customHeight="1" x14ac:dyDescent="0.25">
      <c r="A3" s="2" t="s">
        <v>1</v>
      </c>
      <c r="B3" s="2" t="s">
        <v>26</v>
      </c>
      <c r="C3" s="2" t="s">
        <v>3</v>
      </c>
      <c r="D3" s="2" t="s">
        <v>29</v>
      </c>
      <c r="E3" s="2"/>
      <c r="F3" s="2"/>
      <c r="G3" s="7" t="s">
        <v>16</v>
      </c>
      <c r="H3" s="7"/>
      <c r="I3" s="7"/>
      <c r="J3" s="33"/>
      <c r="K3" s="33"/>
    </row>
    <row r="4" spans="1:12" s="26" customFormat="1" ht="35.25" customHeight="1" x14ac:dyDescent="0.25">
      <c r="A4" s="25" t="s">
        <v>111</v>
      </c>
      <c r="B4" s="25" t="s">
        <v>118</v>
      </c>
      <c r="C4" s="25" t="s">
        <v>119</v>
      </c>
      <c r="D4" s="25" t="s">
        <v>120</v>
      </c>
      <c r="E4" s="44" t="s">
        <v>207</v>
      </c>
      <c r="F4" s="25" t="s">
        <v>208</v>
      </c>
      <c r="G4" s="28"/>
      <c r="H4" s="28"/>
      <c r="I4" s="28"/>
      <c r="J4" s="45"/>
      <c r="K4" s="45"/>
    </row>
    <row r="5" spans="1:12" ht="45" x14ac:dyDescent="0.25">
      <c r="A5" s="3" t="s">
        <v>34</v>
      </c>
      <c r="B5" s="3" t="s">
        <v>27</v>
      </c>
      <c r="C5" s="3" t="s">
        <v>28</v>
      </c>
      <c r="D5" s="3" t="s">
        <v>30</v>
      </c>
      <c r="E5" s="3"/>
      <c r="F5" s="3"/>
      <c r="G5" s="9"/>
      <c r="H5" s="9"/>
      <c r="I5" s="9"/>
      <c r="J5" s="32"/>
      <c r="K5" s="32"/>
      <c r="L5" s="3"/>
    </row>
  </sheetData>
  <hyperlinks>
    <hyperlink ref="E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5"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6"/>
  <sheetViews>
    <sheetView workbookViewId="0">
      <pane ySplit="3" topLeftCell="A4" activePane="bottomLeft" state="frozenSplit"/>
      <selection pane="bottomLeft" activeCell="C4" sqref="C4"/>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223</v>
      </c>
      <c r="H1" s="10"/>
      <c r="I1" s="6"/>
      <c r="J1" s="6"/>
    </row>
    <row r="2" spans="1:10" ht="45" x14ac:dyDescent="0.25">
      <c r="A2" s="3"/>
      <c r="B2" s="3"/>
      <c r="C2" s="3"/>
      <c r="D2" s="3"/>
      <c r="E2" s="3"/>
      <c r="F2" s="9"/>
      <c r="G2" s="9" t="s">
        <v>225</v>
      </c>
      <c r="H2" s="10"/>
      <c r="I2" s="6"/>
      <c r="J2" s="6"/>
    </row>
    <row r="3" spans="1:10" s="1" customFormat="1" ht="13.5" customHeight="1" x14ac:dyDescent="0.25">
      <c r="A3" s="2" t="s">
        <v>1</v>
      </c>
      <c r="B3" s="2" t="s">
        <v>2</v>
      </c>
      <c r="C3" s="2" t="s">
        <v>304</v>
      </c>
      <c r="D3" s="2" t="s">
        <v>190</v>
      </c>
      <c r="E3" s="2" t="s">
        <v>191</v>
      </c>
      <c r="F3" s="7" t="s">
        <v>16</v>
      </c>
      <c r="G3" s="7"/>
      <c r="H3" s="8"/>
      <c r="I3" s="5"/>
      <c r="J3" s="5"/>
    </row>
    <row r="4" spans="1:10" s="31" customFormat="1" ht="13.5" customHeight="1" x14ac:dyDescent="0.25">
      <c r="A4" s="25" t="s">
        <v>209</v>
      </c>
      <c r="B4" s="25" t="s">
        <v>210</v>
      </c>
      <c r="C4" s="25" t="s">
        <v>210</v>
      </c>
      <c r="D4" s="44" t="s">
        <v>211</v>
      </c>
      <c r="E4" s="25" t="s">
        <v>212</v>
      </c>
      <c r="F4" s="28"/>
      <c r="G4" s="28"/>
      <c r="H4" s="29"/>
      <c r="I4" s="30"/>
      <c r="J4" s="30"/>
    </row>
    <row r="5" spans="1:10" s="31" customFormat="1" ht="13.5" customHeight="1" x14ac:dyDescent="0.25">
      <c r="A5" s="25" t="s">
        <v>224</v>
      </c>
      <c r="B5" s="25" t="s">
        <v>226</v>
      </c>
      <c r="C5" s="25"/>
      <c r="D5" s="44"/>
      <c r="E5" s="25"/>
      <c r="F5" s="28"/>
      <c r="G5" s="28"/>
      <c r="H5" s="29"/>
      <c r="I5" s="30"/>
      <c r="J5" s="30"/>
    </row>
    <row r="6" spans="1:10" ht="30" x14ac:dyDescent="0.25">
      <c r="A6" s="12" t="s">
        <v>162</v>
      </c>
      <c r="B6" s="13" t="s">
        <v>46</v>
      </c>
    </row>
    <row r="7" spans="1:10" x14ac:dyDescent="0.25">
      <c r="A7" s="12" t="s">
        <v>163</v>
      </c>
      <c r="B7" s="13" t="s">
        <v>47</v>
      </c>
    </row>
    <row r="8" spans="1:10" ht="30" x14ac:dyDescent="0.25">
      <c r="A8" s="12" t="s">
        <v>164</v>
      </c>
      <c r="B8" s="13" t="s">
        <v>48</v>
      </c>
    </row>
    <row r="9" spans="1:10" x14ac:dyDescent="0.25">
      <c r="A9" s="12" t="s">
        <v>165</v>
      </c>
      <c r="B9" s="13" t="s">
        <v>49</v>
      </c>
    </row>
    <row r="10" spans="1:10" ht="30" x14ac:dyDescent="0.25">
      <c r="A10" s="12" t="s">
        <v>166</v>
      </c>
      <c r="B10" s="13" t="s">
        <v>50</v>
      </c>
    </row>
    <row r="11" spans="1:10" ht="30" x14ac:dyDescent="0.25">
      <c r="A11" s="12" t="s">
        <v>167</v>
      </c>
      <c r="B11" s="13" t="s">
        <v>51</v>
      </c>
    </row>
    <row r="12" spans="1:10" x14ac:dyDescent="0.25">
      <c r="A12" s="12" t="s">
        <v>168</v>
      </c>
      <c r="B12" s="13" t="s">
        <v>52</v>
      </c>
    </row>
    <row r="13" spans="1:10" x14ac:dyDescent="0.25">
      <c r="A13" s="12" t="s">
        <v>169</v>
      </c>
      <c r="B13" s="13" t="s">
        <v>53</v>
      </c>
    </row>
    <row r="14" spans="1:10" x14ac:dyDescent="0.25">
      <c r="A14" s="12" t="s">
        <v>170</v>
      </c>
      <c r="B14" s="13" t="s">
        <v>54</v>
      </c>
    </row>
    <row r="15" spans="1:10" x14ac:dyDescent="0.25">
      <c r="A15" s="12" t="s">
        <v>171</v>
      </c>
      <c r="B15" s="13" t="s">
        <v>55</v>
      </c>
    </row>
    <row r="16" spans="1:10" x14ac:dyDescent="0.25">
      <c r="A16" s="12" t="s">
        <v>172</v>
      </c>
      <c r="B16" s="13" t="s">
        <v>56</v>
      </c>
    </row>
    <row r="17" spans="1:2" x14ac:dyDescent="0.25">
      <c r="A17" s="12" t="s">
        <v>173</v>
      </c>
      <c r="B17" s="13" t="s">
        <v>57</v>
      </c>
    </row>
    <row r="18" spans="1:2" x14ac:dyDescent="0.25">
      <c r="A18" s="12" t="s">
        <v>174</v>
      </c>
      <c r="B18" s="13" t="s">
        <v>58</v>
      </c>
    </row>
    <row r="19" spans="1:2" x14ac:dyDescent="0.25">
      <c r="A19" s="12" t="s">
        <v>175</v>
      </c>
      <c r="B19" s="13" t="s">
        <v>59</v>
      </c>
    </row>
    <row r="20" spans="1:2" x14ac:dyDescent="0.25">
      <c r="A20" s="12" t="s">
        <v>176</v>
      </c>
      <c r="B20" s="13" t="s">
        <v>60</v>
      </c>
    </row>
    <row r="21" spans="1:2" ht="30" x14ac:dyDescent="0.25">
      <c r="A21" s="12" t="s">
        <v>177</v>
      </c>
      <c r="B21" s="13" t="s">
        <v>61</v>
      </c>
    </row>
    <row r="22" spans="1:2" x14ac:dyDescent="0.25">
      <c r="A22" s="12" t="s">
        <v>178</v>
      </c>
      <c r="B22" s="13" t="s">
        <v>62</v>
      </c>
    </row>
    <row r="23" spans="1:2" ht="30" x14ac:dyDescent="0.25">
      <c r="A23" s="12" t="s">
        <v>179</v>
      </c>
      <c r="B23" s="13" t="s">
        <v>63</v>
      </c>
    </row>
    <row r="24" spans="1:2" x14ac:dyDescent="0.25">
      <c r="A24" s="12" t="s">
        <v>180</v>
      </c>
      <c r="B24" s="13" t="s">
        <v>64</v>
      </c>
    </row>
    <row r="25" spans="1:2" x14ac:dyDescent="0.25">
      <c r="A25" s="12" t="s">
        <v>181</v>
      </c>
      <c r="B25" s="13" t="s">
        <v>65</v>
      </c>
    </row>
    <row r="26" spans="1:2" ht="30" x14ac:dyDescent="0.25">
      <c r="A26" s="12" t="s">
        <v>182</v>
      </c>
      <c r="B26" s="13" t="s">
        <v>66</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7"/>
  <sheetViews>
    <sheetView workbookViewId="0">
      <pane ySplit="3" topLeftCell="A4" activePane="bottomLeft" state="frozenSplit"/>
      <selection pane="bottomLeft" activeCell="A5" sqref="A5"/>
    </sheetView>
  </sheetViews>
  <sheetFormatPr defaultRowHeight="15" x14ac:dyDescent="0.25"/>
  <cols>
    <col min="1" max="1" width="11.4257812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79</v>
      </c>
      <c r="H1" s="10"/>
      <c r="I1" s="6"/>
      <c r="J1" s="6"/>
    </row>
    <row r="2" spans="1:10" ht="30" x14ac:dyDescent="0.25">
      <c r="B2" s="3"/>
      <c r="C2" s="3"/>
      <c r="D2" s="3"/>
      <c r="E2" s="3"/>
      <c r="F2" s="9"/>
      <c r="G2" s="9" t="s">
        <v>80</v>
      </c>
      <c r="H2" s="10"/>
      <c r="I2" s="6"/>
      <c r="J2" s="6"/>
    </row>
    <row r="3" spans="1:10" s="1" customFormat="1" ht="13.5" customHeight="1" x14ac:dyDescent="0.25">
      <c r="A3" s="2" t="s">
        <v>77</v>
      </c>
      <c r="B3" s="2" t="s">
        <v>2</v>
      </c>
      <c r="C3" s="2" t="s">
        <v>304</v>
      </c>
      <c r="D3" s="2" t="s">
        <v>190</v>
      </c>
      <c r="E3" s="2" t="s">
        <v>191</v>
      </c>
      <c r="F3" s="7" t="s">
        <v>16</v>
      </c>
      <c r="G3" s="7"/>
      <c r="H3" s="8"/>
      <c r="I3" s="5"/>
      <c r="J3" s="5"/>
    </row>
    <row r="4" spans="1:10" s="31" customFormat="1" ht="33" customHeight="1" x14ac:dyDescent="0.25">
      <c r="A4" s="25" t="s">
        <v>319</v>
      </c>
      <c r="B4" s="25" t="s">
        <v>213</v>
      </c>
      <c r="C4" s="25" t="s">
        <v>213</v>
      </c>
      <c r="D4" s="44" t="s">
        <v>214</v>
      </c>
      <c r="E4" s="25" t="s">
        <v>215</v>
      </c>
      <c r="F4" s="28"/>
      <c r="G4" s="28"/>
      <c r="H4" s="29"/>
      <c r="I4" s="30"/>
      <c r="J4" s="30"/>
    </row>
    <row r="5" spans="1:10" x14ac:dyDescent="0.25">
      <c r="A5" s="3">
        <v>1</v>
      </c>
      <c r="B5" s="13" t="s">
        <v>67</v>
      </c>
      <c r="C5" s="13" t="s">
        <v>69</v>
      </c>
    </row>
    <row r="6" spans="1:10" ht="30" x14ac:dyDescent="0.25">
      <c r="A6" s="3" t="s">
        <v>78</v>
      </c>
      <c r="B6" s="13" t="s">
        <v>70</v>
      </c>
      <c r="C6" s="13" t="s">
        <v>71</v>
      </c>
    </row>
    <row r="7" spans="1:10" x14ac:dyDescent="0.25">
      <c r="A7" s="3">
        <v>2</v>
      </c>
      <c r="B7" s="13" t="s">
        <v>68</v>
      </c>
      <c r="C7" s="13" t="s">
        <v>73</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B9" sqref="B9"/>
    </sheetView>
  </sheetViews>
  <sheetFormatPr defaultRowHeight="15" x14ac:dyDescent="0.25"/>
  <cols>
    <col min="1" max="1" width="26.28515625" customWidth="1"/>
    <col min="4" max="4" width="23.7109375" customWidth="1"/>
  </cols>
  <sheetData>
    <row r="1" spans="1:4" x14ac:dyDescent="0.25">
      <c r="A1" t="s">
        <v>81</v>
      </c>
    </row>
    <row r="3" spans="1:4" x14ac:dyDescent="0.25">
      <c r="A3" s="1" t="s">
        <v>4</v>
      </c>
      <c r="D3" t="s">
        <v>123</v>
      </c>
    </row>
    <row r="5" spans="1:4" x14ac:dyDescent="0.25">
      <c r="A5" t="s">
        <v>132</v>
      </c>
      <c r="B5">
        <v>1</v>
      </c>
      <c r="D5" t="s">
        <v>124</v>
      </c>
    </row>
    <row r="6" spans="1:4" x14ac:dyDescent="0.25">
      <c r="A6" t="s">
        <v>9</v>
      </c>
      <c r="B6">
        <v>1</v>
      </c>
      <c r="D6" t="s">
        <v>125</v>
      </c>
    </row>
    <row r="7" spans="1:4" x14ac:dyDescent="0.25">
      <c r="A7" t="s">
        <v>279</v>
      </c>
      <c r="B7">
        <v>1</v>
      </c>
    </row>
    <row r="8" spans="1:4" x14ac:dyDescent="0.25">
      <c r="A8" t="s">
        <v>5</v>
      </c>
      <c r="B8">
        <v>4</v>
      </c>
    </row>
    <row r="9" spans="1:4" x14ac:dyDescent="0.25">
      <c r="A9" t="s">
        <v>217</v>
      </c>
      <c r="B9">
        <v>5</v>
      </c>
    </row>
    <row r="10" spans="1:4" x14ac:dyDescent="0.25">
      <c r="A10" t="s">
        <v>35</v>
      </c>
      <c r="B10">
        <v>2</v>
      </c>
    </row>
    <row r="11" spans="1:4" x14ac:dyDescent="0.25">
      <c r="A11" t="s">
        <v>115</v>
      </c>
      <c r="B11">
        <v>0</v>
      </c>
    </row>
    <row r="12" spans="1:4" x14ac:dyDescent="0.25">
      <c r="A12" t="s">
        <v>133</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overview</vt:lpstr>
      <vt:lpstr>predicted-impact</vt:lpstr>
      <vt:lpstr>community</vt:lpstr>
      <vt:lpstr>location</vt:lpstr>
      <vt:lpstr>project</vt:lpstr>
      <vt:lpstr>proposal</vt:lpstr>
      <vt:lpstr>resource-source</vt:lpstr>
      <vt:lpstr>item</vt:lpstr>
      <vt:lpstr>item-category</vt:lpstr>
      <vt:lpstr>agent</vt:lpstr>
      <vt:lpstr>agent-category</vt:lpstr>
      <vt:lpstr>reference</vt:lpstr>
      <vt:lpstr>impact-category</vt:lpstr>
      <vt:lpstr>community-classification</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2015-01-16T12:18:54Z</dcterms:modified>
</cp:coreProperties>
</file>