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4220" windowHeight="7410" tabRatio="875" firstSheet="6" activeTab="13"/>
  </bookViews>
  <sheets>
    <sheet name="overview" sheetId="1" r:id="rId1"/>
    <sheet name="version control" sheetId="16" r:id="rId2"/>
    <sheet name="prediction" sheetId="17" r:id="rId3"/>
    <sheet name="location" sheetId="2" r:id="rId4"/>
    <sheet name="community" sheetId="4" r:id="rId5"/>
    <sheet name="community-classification" sheetId="9" r:id="rId6"/>
    <sheet name="predicted-impact" sheetId="5"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<sst xmlns="http://schemas.openxmlformats.org/spreadsheetml/2006/main" count="649" uniqueCount="317">
  <si>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</si>
  <si>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</si>
  <si>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</si>
  <si>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</si>
  <si>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</si>
  <si>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</si>
  <si>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</si>
  <si>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</si>
  <si>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</si>
  <si>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</si>
  <si>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</si>
  <si>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</si>
  <si>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</si>
  <si>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</si>
  <si>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</si>
  <si>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</si>
  <si>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</si>
  <si>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</si>
  <si>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</si>
  <si>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</si>
  <si>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</si>
  <si>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</si>
  <si>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</si>
  <si>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</si>
  <si>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</si>
  <si>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</si>
  <si>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</si>
  <si>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</si>
  <si>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</si>
  <si>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</si>
  <si>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</si>
  <si>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</si>
  <si>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</si>
  <si>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</si>
  <si>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</si>
  <si>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</si>
  <si>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</si>
  <si>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</si>
  <si>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</si>
  <si>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</si>
  <si>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</si>
  <si>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</si>
  <si>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</si>
  <si>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</si>
  <si>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</si>
  <si>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</si>
  <si>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</si>
  <si>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</si>
  <si>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</si>
  <si>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</si>
  <si>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</si>
  <si>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</si>
  <si>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</si>
  <si>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</si>
  <si>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</si>
  <si>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</si>
  <si>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</si>
  <si>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</si>
  <si>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</si>
  <si>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</si>
  <si>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</si>
  <si>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</si>
  <si>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</si>
  <si>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</si>
  <si>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</si>
  <si>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</si>
  <si>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</si>
  <si>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</si>
  <si>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</si>
  <si>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</si>
  <si>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</si>
  <si>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</si>
  <si>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</si>
  <si>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</si>
  <si>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</si>
  <si>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</si>
  <si>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</si>
  <si>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</si>
  <si>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</si>
  <si>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</si>
  <si>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</si>
  <si>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</si>
  <si>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</si>
  <si>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</si>
  <si>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</si>
  <si>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</si>
  <si>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</si>
  <si>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</si>
  <si>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</si>
  <si>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</si>
  <si>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</si>
  <si>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</si>
  <si>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</si>
  <si>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</si>
  <si>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</si>
  <si>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</si>
  <si>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</si>
  <si>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</si>
  <si>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</si>
  <si>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</si>
  <si>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</si>
  <si>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</si>
  <si>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</si>
  <si>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</si>
  <si>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</si>
  <si>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</si>
  <si>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</si>
  <si>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</si>
  <si>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</si>
  <si>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</si>
  <si>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</si>
  <si>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</si>
  <si>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</si>
  <si>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</si>
  <si>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</si>
  <si>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</si>
  <si>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</si>
  <si>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</si>
  <si>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</si>
  <si>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</si>
  <si>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</si>
  <si>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</si>
  <si>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</si>
  <si>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</si>
  <si>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</si>
  <si>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</si>
  <si>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</si>
  <si>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</si>
  <si>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</si>
  <si>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</si>
  <si>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</si>
  <si>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</si>
  <si>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</si>
  <si>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</si>
  <si>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</si>
  <si>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</si>
  <si>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</si>
  <si>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</si>
  <si>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</si>
  <si>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</si>
  <si>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</si>
  <si>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</si>
  <si>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</si>
  <si>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</si>
  <si>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</si>
  <si>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</si>
  <si>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</si>
  <si>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</si>
  <si>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</si>
  <si>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</si>
  <si>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</si>
  <si>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</si>
  <si>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</si>
  <si>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</si>
  <si>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</si>
  <si>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</si>
  <si>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</si>
  <si>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</si>
  <si>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</si>
  <si>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</si>
  <si>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</si>
  <si>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</si>
  <si>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</si>
  <si>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</si>
  <si>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</si>
  <si>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</si>
  <si>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</si>
  <si>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</si>
  <si>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</si>
  <si>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</si>
  <si>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</si>
  <si>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</si>
  <si>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</si>
  <si>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</si>
  <si>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</si>
  <si>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</si>
  <si>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</si>
  <si>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</si>
  <si>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</si>
  <si>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</si>
  <si>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</si>
  <si>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</si>
  <si>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</si>
  <si>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</si>
  <si>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</si>
  <si>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</si>
  <si>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</si>
  <si>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</si>
  <si>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</si>
  <si>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</si>
  <si>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</si>
  <si>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</si>
  <si>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</si>
  <si>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</si>
  <si>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</si>
  <si>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</si>
  <si>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</si>
  <si>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</si>
  <si>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</si>
  <si>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</si>
  <si>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</si>
  <si>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</si>
  <si>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</si>
  <si>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</si>
  <si>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</si>
  <si>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</si>
  <si>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</si>
  <si>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</si>
  <si>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</si>
  <si>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</si>
  <si>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</si>
  <si>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</si>
  <si>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</si>
  <si>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</si>
  <si>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</si>
  <si>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</si>
  <si>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</si>
  <si>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</si>
  <si>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</si>
  <si>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</si>
  <si>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</si>
  <si>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</si>
  <si>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</si>
  <si>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</si>
  <si>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</si>
  <si>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</si>
  <si>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</si>
  <si>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</si>
  <si>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</si>
  <si>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</si>
  <si>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</si>
  <si>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</si>
  <si>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</si>
  <si>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</si>
  <si>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</si>
  <si>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</si>
  <si>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</si>
  <si>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</si>
  <si>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</si>
  <si>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</si>
  <si>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</si>
  <si>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</si>
  <si>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</si>
  <si>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</si>
  <si>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</si>
  <si>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</si>
  <si>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</si>
  <si>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</si>
  <si>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</si>
  <si>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</si>
  <si>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</si>
  <si>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</si>
  <si>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</si>
  <si>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</si>
  <si>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</si>
  <si>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</si>
  <si>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</si>
  <si>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</si>
  <si>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</si>
  <si>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</si>
  <si>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</si>
  <si>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</si>
  <si>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</si>
  <si>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</si>
  <si>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 test</t>
  </si>
  <si>
    <t>Influenced By</t>
  </si>
  <si>
    <t>Influence By Name</t>
  </si>
  <si>
    <t>prediction</t>
  </si>
  <si>
    <t>Influenced By Name</t>
  </si>
  <si>
    <t>Brian McBride</t>
  </si>
  <si>
    <t xml:space="preserve">Added predictions tab
Added columns for linking predicted impacts to predictions
Fixed typo 
Modified references to create URI for abstract document with links to where it may be accessed
Fixed typo in comment on the item-category tab
modifed ids for impact categories to follow same pattern as other ids
Added home page column for agents
</t>
  </si>
  <si>
    <t>Remaining Information about Stockland Bristol</t>
  </si>
  <si>
    <t>http://id.esd.org.uk/neighbourhood/NN461a</t>
  </si>
  <si>
    <t>prediction/1</t>
  </si>
  <si>
    <t>Increase of the number of vehicles.</t>
  </si>
  <si>
    <t>Increase in construction activity.</t>
  </si>
  <si>
    <t>prediction/2</t>
  </si>
  <si>
    <t>proposal/1</t>
  </si>
  <si>
    <t>Noise insulation for dwellings and buildings</t>
  </si>
  <si>
    <t>Within the Site Preparation Works S106 agreement, there is a Noise Insulation Scheme and within the DCO there is theTransport Noise Insulation Scheme for properties in Cannington and Combwich. If it is identified, that as a result of increased traffic, that the residents of Stockland Bristol are adversely affected by noise due to the increase in vehicles, it may be possible/ appropriate to request that EDF extend this scheme.</t>
  </si>
  <si>
    <t>proposal/2</t>
  </si>
  <si>
    <t>Invest in public and community buildings/services</t>
  </si>
  <si>
    <t>The only community facility that Stockland Bristol has is a Parish Hall. Given the population profile of the Parish, there may become a need for this building to be used more often for meetings, social events, classes, provision of services etc. It will therefore be necessary for this building to be fit for purpose and therefore repairs may be required to the external walls and roof, provision of facilities within the building and there may be a need for support in the community to coordinate events/services.</t>
  </si>
  <si>
    <t>proposal/3</t>
  </si>
  <si>
    <t>Planting/ screening/ community woodland/ orchard</t>
  </si>
  <si>
    <t>Due to the flat open nature of the landscape, it will be difficult to provide any planting that will screen the development of Hinkley Point C from the residential properties within the parish. It is currently possible to view Hinkley Point A and B station from the existing properties and the surrounding area. Due to the flat open landscape, an area of planting / woodland may be out of character with the existing landscape.</t>
  </si>
  <si>
    <t>proposal/4</t>
  </si>
  <si>
    <t>Green space and open space enhancements</t>
  </si>
  <si>
    <t>Depending on the impacts of the project on the parish, it may be appropriate for open space enhancement to improve the quality of life of residents within the parish.</t>
  </si>
  <si>
    <t>proposal/5</t>
  </si>
  <si>
    <t>Steart Coastal Path</t>
  </si>
  <si>
    <t>As part of the Steart Project, there are plans to upgrade the existing coastal path, this could be accessed by residents of Stockland Bristol and provide access to a form of recreational activity. The Parish may wish to enhance this facility further and bid for funding from CIM. For a bid of this nature to be acceptable, it would need to mitigate the impact of the construction project.</t>
  </si>
  <si>
    <t>proposal/6</t>
  </si>
  <si>
    <t>Footpath / cycleway enhancement</t>
  </si>
  <si>
    <t>Given the increase in traffic along the C182, there may be an aspiration for an alternative option from driving to be provided. There are plans being developed for a footpath/ cycleway from Cannington to Hinkley Point C. The route includes the existing walking and cycling path between Combwich and Stockland Bristol. There may be reasons why some residents don’t’ use this path, it may be appropriate for the residents to be asked if there are any barriers to them using this path such as accessibility, safety etc. and if there is a common response, it may be appropriate for a CIM bid to be submitted to overcome the barrier.</t>
  </si>
  <si>
    <t>Site Prep Works S106 Community Impact Mitigation (CIM) Fund</t>
  </si>
  <si>
    <t>The CIM Fund was formalised upon the granting of planning permission for the Site Preparation Works. The SPW S106 included a £7,200,000 mitigation contribution to be spent via the SPW Board.</t>
  </si>
  <si>
    <t>reference/3</t>
  </si>
  <si>
    <t>reference/3/ver/</t>
  </si>
  <si>
    <t>http://www.sedgemoor.gov.uk/index.aspx?articleid=9948</t>
  </si>
  <si>
    <t>Community Impact Mitigation Fund</t>
  </si>
  <si>
    <t>resource-source/2</t>
  </si>
  <si>
    <t>Development Consent Order S106 EDF Energy Community Fund</t>
  </si>
  <si>
    <t>Negotiations during the examination of the DCO application have made it clear that the total Fund would remain at £20 million. The fund has now been renamed the “EDF Energy Community Fund”, with the remaining contribution (£12,800,000) to be managed by Somerset Community Foundation. Any money given out from the Fund would be approved via a Panel of 10 members, including representatives from SDC, SCC, and WSC. Contributions from the Fund can only be spent in the administrative area of Somerset, and can only be spent on measures to mitigate the greatest impacts and “promote the economic, social or environmental well-being of those communities and enhance the quality of life”.</t>
  </si>
  <si>
    <t>reference/4</t>
  </si>
  <si>
    <t>reference/4/ver/</t>
  </si>
  <si>
    <t>http://www.sedgemoor.gov.uk/CHttpHandler.ashx?id=9714&amp;p=0</t>
  </si>
  <si>
    <t>Community benefit fund</t>
  </si>
  <si>
    <t>resource-source/3</t>
  </si>
  <si>
    <t>On 17th July 2013, Government announced that the host communities for all new nuclear power stations in the UK would be eligible for a community benefits package.
The proposal is designed to deliver a fund once the new nuclear power station becomes operational and is generating power. As such, the community benefits package will be in addition to the mitigation measures secured through the DCO process and agreed in the Section 106 Agreement and planning requirements.
The calculation for the size of the community benefits package is based on a maximum of £1,000 per MW output, per annum, for period of 40 years.
The governance arrangements and process for the community benefit package may work in two phases, but this is still to be agreed:
* Phase one will be linked to the retention of business rates, with the host local authority retaining business rates and any uplift. For Hinkley Point C this would directly benefit Somerset County Council, as it is the upper tier local authority which collects business rates. The retention of business rates will last for a period of 10 years.
* Phase two will continue after the first 10 year period with payments to be underpinned by DECC and maintained at the same rate and payable annually. The second phase is scheduled to operate over the period 2030 and 2060.
A Government announcement stated that the package for Hinkley Point C “could amount to approximately £128m”; although a direct calculation based on the 3,260MW output figures stated by EDF Energy would put the community benefits package at over £130 million.
The full details of how the community benefits package will work in practice are not yet known. Similarly, it is not yet clear how the agreed mitigation funds already secured for the HPC project will influence the use of the funds accrued through the community benefits package (and vice versa).</t>
  </si>
  <si>
    <t xml:space="preserve">http://data.ordnancesurvey.co.uk/id/7000000000010637 </t>
  </si>
  <si>
    <t>item/1</t>
  </si>
  <si>
    <t>Proposed Hinkley Point C Nuclear Power Station</t>
  </si>
  <si>
    <t>Nuclear Power Station</t>
  </si>
  <si>
    <t>predicted-impact/11</t>
  </si>
  <si>
    <t>item-category/1</t>
  </si>
  <si>
    <t>building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</si>
</sst>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data.ordnancesurvey.co.uk/id/50kGazetteer/42603" TargetMode="External"/><Relationship Id="rId7" Type="http://schemas.openxmlformats.org/officeDocument/2006/relationships/printerSettings" Target="../printerSettings/printerSettings3.bin"/><Relationship Id="rId2" Type="http://schemas.openxmlformats.org/officeDocument/2006/relationships/hyperlink" Target="http://data.ordnancesurvey.co.uk/id/7000000000042256" TargetMode="External"/><Relationship Id="rId1" Type="http://schemas.openxmlformats.org/officeDocument/2006/relationships/hyperlink" Target="http://data.ordnancesurvey.co.uk/id/50kGazetteer/32067" TargetMode="External"/><Relationship Id="rId6" Type="http://schemas.openxmlformats.org/officeDocument/2006/relationships/hyperlink" Target="http://data.ordnancesurvey.co.uk/id/7000000000010637" TargetMode="External"/><Relationship Id="rId11" Type="http://schemas.openxmlformats.org/officeDocument/2006/relationships/ctrlProp" Target="../ctrlProps/ctrlProp5.xml"/><Relationship Id="rId5" Type="http://schemas.openxmlformats.org/officeDocument/2006/relationships/hyperlink" Target="http://id.esd.org.uk/neighbourhood/NN461a" TargetMode="External"/><Relationship Id="rId10" Type="http://schemas.openxmlformats.org/officeDocument/2006/relationships/ctrlProp" Target="../ctrlProps/ctrlProp4.xml"/><Relationship Id="rId4" Type="http://schemas.openxmlformats.org/officeDocument/2006/relationships/hyperlink" Target="http://data.ordnancesurvey.co.uk/id/7000000000010595"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data.ordnancesurvey.co.uk/id/50kGazetteer/119151" TargetMode="Externa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www.sedgemoor.gov.uk/CHttpHandler.ashx?id=9714&amp;p=0" TargetMode="External"/><Relationship Id="rId1" Type="http://schemas.openxmlformats.org/officeDocument/2006/relationships/hyperlink" Target="http://www.sedgemoor.gov.uk/index.aspx?articleid=9948"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91</v>
      </c>
    </row>
    <row r="9" spans="1:1" ht="45" x14ac:dyDescent="0.25">
      <c r="A9" s="3" t="s">
        <v>66</v>
      </c>
    </row>
    <row r="11" spans="1:1" ht="30" x14ac:dyDescent="0.25">
      <c r="A11" s="3" t="s">
        <v>92</v>
      </c>
    </row>
    <row r="13" spans="1:1" ht="30" x14ac:dyDescent="0.25">
      <c r="A13" s="3" t="s">
        <v>93</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6"/>
  <sheetViews>
    <sheetView workbookViewId="0">
      <pane ySplit="1" topLeftCell="A5" activePane="bottomLeft" state="frozen"/>
      <selection pane="bottomLeft" activeCell="C4" sqref="C4"/>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191</v>
      </c>
      <c r="C1" s="11" t="s">
        <v>192</v>
      </c>
      <c r="D1" s="11" t="s">
        <v>193</v>
      </c>
      <c r="E1" s="11" t="s">
        <v>194</v>
      </c>
      <c r="F1" s="11" t="s">
        <v>211</v>
      </c>
    </row>
    <row r="2" spans="1:6" ht="210" x14ac:dyDescent="0.25">
      <c r="A2" s="13">
        <v>1</v>
      </c>
      <c r="B2" s="14">
        <v>42017</v>
      </c>
      <c r="C2" s="13" t="s">
        <v>195</v>
      </c>
      <c r="D2" s="13" t="s">
        <v>223</v>
      </c>
      <c r="E2" s="13" t="s">
        <v>212</v>
      </c>
      <c r="F2" s="13" t="s">
        <v>224</v>
      </c>
    </row>
    <row r="4" spans="1:6" ht="195" x14ac:dyDescent="0.25">
      <c r="A4" s="13">
        <v>2</v>
      </c>
      <c r="B4" s="14">
        <v>42017</v>
      </c>
      <c r="C4" s="13" t="s">
        <v>195</v>
      </c>
      <c r="D4" s="13" t="s">
        <v>218</v>
      </c>
      <c r="E4" s="13" t="s">
        <v>241</v>
      </c>
      <c r="F4" s="13" t="s">
        <v>219</v>
      </c>
    </row>
    <row r="5" spans="1:6" ht="135" x14ac:dyDescent="0.25">
      <c r="A5" s="13">
        <v>3</v>
      </c>
      <c r="B5" s="14">
        <v>42023</v>
      </c>
      <c r="C5" s="13" t="s">
        <v>269</v>
      </c>
      <c r="D5" s="13" t="s">
        <v>270</v>
      </c>
    </row>
    <row r="6" spans="1:6" x14ac:dyDescent="0.25">
      <c r="A6" s="13">
        <v>4</v>
      </c>
      <c r="B6" s="14">
        <v>42026</v>
      </c>
      <c r="C6" s="13" t="s">
        <v>195</v>
      </c>
      <c r="D6" s="13" t="s">
        <v>271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5"/>
  <sheetViews>
    <sheetView workbookViewId="0">
      <pane ySplit="3" topLeftCell="A4" activePane="bottomLeft" state="frozenSplit"/>
      <selection pane="bottomLeft" activeCell="A5" sqref="A5"/>
    </sheetView>
  </sheetViews>
  <sheetFormatPr defaultRowHeight="15" x14ac:dyDescent="0.25"/>
  <cols>
    <col min="1" max="1" width="18.28515625" style="3" customWidth="1"/>
    <col min="2" max="2" width="8.7109375" style="3" customWidth="1"/>
    <col min="3" max="3" width="16.28515625" style="3" customWidth="1"/>
    <col min="4" max="4" width="36.140625"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0" x14ac:dyDescent="0.25">
      <c r="A3" s="2" t="s">
        <v>1</v>
      </c>
      <c r="B3" s="2" t="s">
        <v>65</v>
      </c>
      <c r="C3" s="2" t="s">
        <v>95</v>
      </c>
      <c r="D3" s="2" t="s">
        <v>2</v>
      </c>
      <c r="E3" s="16" t="s">
        <v>3</v>
      </c>
      <c r="F3" s="2" t="s">
        <v>265</v>
      </c>
      <c r="G3" s="24" t="s">
        <v>266</v>
      </c>
      <c r="H3" s="11" t="s">
        <v>11</v>
      </c>
      <c r="I3" s="2" t="s">
        <v>258</v>
      </c>
      <c r="J3" s="23" t="s">
        <v>262</v>
      </c>
      <c r="K3" s="11" t="s">
        <v>131</v>
      </c>
      <c r="L3" s="11" t="s">
        <v>177</v>
      </c>
      <c r="M3" s="23" t="s">
        <v>178</v>
      </c>
      <c r="N3" s="11" t="s">
        <v>123</v>
      </c>
      <c r="O3" s="11" t="s">
        <v>127</v>
      </c>
    </row>
    <row r="4" spans="1:15" ht="30" x14ac:dyDescent="0.25">
      <c r="A4" s="3" t="s">
        <v>273</v>
      </c>
      <c r="D4" s="3" t="s">
        <v>275</v>
      </c>
      <c r="L4" s="13" t="s">
        <v>101</v>
      </c>
      <c r="M4" s="21" t="s">
        <v>94</v>
      </c>
    </row>
    <row r="5" spans="1:15" ht="30" x14ac:dyDescent="0.25">
      <c r="A5" s="3" t="s">
        <v>276</v>
      </c>
      <c r="D5" s="3" t="s">
        <v>274</v>
      </c>
      <c r="L5" s="13" t="s">
        <v>101</v>
      </c>
      <c r="M5" s="21" t="s">
        <v>94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8"/>
  <sheetViews>
    <sheetView zoomScaleNormal="100" workbookViewId="0">
      <pane ySplit="3" topLeftCell="A4" activePane="bottomLeft" state="frozenSplit"/>
      <selection pane="bottomLeft" activeCell="A8" sqref="A8"/>
    </sheetView>
  </sheetViews>
  <sheetFormatPr defaultRowHeight="15" x14ac:dyDescent="0.25"/>
  <cols>
    <col min="1" max="1" width="15" style="3" customWidth="1"/>
    <col min="2" max="2" width="21.5703125" style="3" customWidth="1"/>
    <col min="3" max="3" width="35.5703125" style="3" customWidth="1"/>
    <col min="4" max="4" width="19.85546875" style="9" customWidth="1"/>
    <col min="5" max="5" width="44.2851562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32.710937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132</v>
      </c>
      <c r="E3" s="7" t="s">
        <v>133</v>
      </c>
      <c r="F3" s="7" t="s">
        <v>134</v>
      </c>
      <c r="G3" s="29" t="s">
        <v>6</v>
      </c>
      <c r="H3" s="29" t="s">
        <v>7</v>
      </c>
      <c r="I3" s="29" t="s">
        <v>123</v>
      </c>
      <c r="J3" s="29" t="s">
        <v>124</v>
      </c>
      <c r="K3" s="11" t="s">
        <v>11</v>
      </c>
      <c r="L3" s="2" t="s">
        <v>258</v>
      </c>
      <c r="M3" s="23" t="s">
        <v>262</v>
      </c>
      <c r="N3" s="11" t="s">
        <v>131</v>
      </c>
      <c r="O3" s="11" t="s">
        <v>14</v>
      </c>
    </row>
    <row r="4" spans="1:15" ht="45" x14ac:dyDescent="0.25">
      <c r="A4" s="3" t="s">
        <v>96</v>
      </c>
      <c r="B4" s="3" t="s">
        <v>12</v>
      </c>
      <c r="C4" s="3" t="s">
        <v>13</v>
      </c>
      <c r="D4" s="39"/>
      <c r="F4" s="39"/>
      <c r="G4" s="28">
        <v>51.207391000000001</v>
      </c>
      <c r="H4" s="28">
        <v>-3.131564</v>
      </c>
      <c r="O4" s="3"/>
    </row>
    <row r="5" spans="1:15" ht="49.5" customHeight="1" x14ac:dyDescent="0.25">
      <c r="A5" s="3" t="s">
        <v>97</v>
      </c>
      <c r="B5" s="3" t="s">
        <v>15</v>
      </c>
      <c r="C5" s="3" t="s">
        <v>16</v>
      </c>
      <c r="D5" s="39" t="s">
        <v>186</v>
      </c>
      <c r="E5" s="39" t="s">
        <v>187</v>
      </c>
      <c r="G5" s="28">
        <v>51.131936000000003</v>
      </c>
      <c r="H5" s="28">
        <v>-2.994224</v>
      </c>
      <c r="O5" s="44"/>
    </row>
    <row r="6" spans="1:15" ht="45" x14ac:dyDescent="0.25">
      <c r="A6" s="3" t="s">
        <v>135</v>
      </c>
      <c r="B6" s="3" t="s">
        <v>172</v>
      </c>
      <c r="C6" s="3" t="s">
        <v>173</v>
      </c>
      <c r="D6" s="39" t="s">
        <v>189</v>
      </c>
      <c r="E6" s="39" t="s">
        <v>190</v>
      </c>
      <c r="G6" s="28">
        <v>51.158552</v>
      </c>
      <c r="H6" s="28">
        <v>-3.0761280000000002</v>
      </c>
    </row>
    <row r="7" spans="1:15" ht="15.75" customHeight="1" x14ac:dyDescent="0.25">
      <c r="A7" s="3" t="s">
        <v>216</v>
      </c>
      <c r="B7" s="3" t="s">
        <v>217</v>
      </c>
      <c r="C7" s="3" t="s">
        <v>220</v>
      </c>
      <c r="E7" s="36" t="s">
        <v>272</v>
      </c>
      <c r="K7" s="28" t="s">
        <v>255</v>
      </c>
      <c r="M7" s="45" t="s">
        <v>214</v>
      </c>
    </row>
    <row r="8" spans="1:15" ht="30" x14ac:dyDescent="0.25">
      <c r="A8" s="3" t="s">
        <v>216</v>
      </c>
      <c r="E8" s="39" t="s">
        <v>310</v>
      </c>
    </row>
  </sheetData>
  <hyperlinks>
    <hyperlink ref="D5" r:id="rId1"/>
    <hyperlink ref="E5" r:id="rId2"/>
    <hyperlink ref="D6" r:id="rId3"/>
    <hyperlink ref="E6" r:id="rId4"/>
    <hyperlink ref="E7" r:id="rId5"/>
    <hyperlink ref="E8" r:id="rId6"/>
  </hyperlinks>
  <pageMargins left="0.7" right="0.7" top="0.75" bottom="0.75" header="0.3" footer="0.3"/>
  <pageSetup paperSize="9" orientation="portrait" horizontalDpi="300" verticalDpi="300" r:id="rId7"/>
  <drawing r:id="rId8"/>
  <legacyDrawing r:id="rId9"/>
  <mc:AlternateContent xmlns:mc="http://schemas.openxmlformats.org/markup-compatibility/2006">
    <mc:Choice Requires="x14">
      <controls>
        <mc:AlternateContent xmlns:mc="http://schemas.openxmlformats.org/markup-compatibility/2006">
          <mc:Choice Requires="x14">
            <control shapeId="2049" r:id="rId10"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1"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4"/>
  <sheetViews>
    <sheetView workbookViewId="0">
      <pane ySplit="3" topLeftCell="A4" activePane="bottomLeft" state="frozenSplit"/>
      <selection pane="bottomLeft" activeCell="B4" sqref="B4"/>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123</v>
      </c>
      <c r="K3" s="23" t="s">
        <v>124</v>
      </c>
      <c r="L3" s="11" t="s">
        <v>11</v>
      </c>
      <c r="M3" s="2" t="s">
        <v>258</v>
      </c>
      <c r="N3" s="23" t="s">
        <v>262</v>
      </c>
      <c r="O3" s="11" t="s">
        <v>131</v>
      </c>
      <c r="P3" s="11"/>
      <c r="Q3" s="11"/>
      <c r="R3" s="11"/>
      <c r="S3" s="11"/>
      <c r="T3" s="11"/>
      <c r="U3" s="11"/>
    </row>
    <row r="4" spans="1:21" s="27" customFormat="1" ht="30" customHeight="1" x14ac:dyDescent="0.25">
      <c r="A4" s="26" t="s">
        <v>221</v>
      </c>
      <c r="B4" s="26" t="s">
        <v>222</v>
      </c>
      <c r="C4" s="26"/>
      <c r="D4" s="26" t="s">
        <v>216</v>
      </c>
      <c r="E4" s="33" t="s">
        <v>217</v>
      </c>
      <c r="F4" s="26" t="s">
        <v>250</v>
      </c>
      <c r="G4" s="33" t="s">
        <v>52</v>
      </c>
      <c r="H4" s="26"/>
      <c r="I4" s="33"/>
      <c r="J4" s="37"/>
      <c r="K4" s="33"/>
      <c r="L4" s="26" t="s">
        <v>255</v>
      </c>
      <c r="M4" s="25"/>
      <c r="N4" s="33" t="s">
        <v>214</v>
      </c>
      <c r="O4" s="26"/>
      <c r="P4" s="26"/>
      <c r="Q4" s="26"/>
      <c r="R4" s="26"/>
      <c r="S4" s="26"/>
      <c r="T4" s="26"/>
      <c r="U4"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180</v>
      </c>
      <c r="D3" s="2" t="s">
        <v>123</v>
      </c>
      <c r="E3" s="2" t="s">
        <v>124</v>
      </c>
      <c r="F3" s="7" t="s">
        <v>14</v>
      </c>
      <c r="G3" s="7"/>
      <c r="H3" s="8"/>
      <c r="I3" s="5"/>
      <c r="J3" s="5"/>
    </row>
    <row r="4" spans="1:10" ht="30" x14ac:dyDescent="0.25">
      <c r="A4" s="3" t="s">
        <v>250</v>
      </c>
      <c r="B4" s="13" t="s">
        <v>52</v>
      </c>
      <c r="C4"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22"/>
  <sheetViews>
    <sheetView workbookViewId="0">
      <pane ySplit="3" topLeftCell="A4" activePane="bottomLeft" state="frozenSplit"/>
      <selection pane="bottomLeft" activeCell="E9" sqref="E9"/>
    </sheetView>
  </sheetViews>
  <sheetFormatPr defaultRowHeight="15" x14ac:dyDescent="0.25"/>
  <cols>
    <col min="1" max="1" width="21.57031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24.85546875" style="18" customWidth="1"/>
    <col min="18" max="18" width="17.5703125" style="19" customWidth="1"/>
    <col min="19" max="19" width="50.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0" x14ac:dyDescent="0.25">
      <c r="A3" s="2" t="s">
        <v>1</v>
      </c>
      <c r="B3" s="2" t="s">
        <v>65</v>
      </c>
      <c r="C3" s="2" t="s">
        <v>95</v>
      </c>
      <c r="D3" s="2" t="s">
        <v>2</v>
      </c>
      <c r="E3" s="16" t="s">
        <v>3</v>
      </c>
      <c r="F3" s="11" t="s">
        <v>10</v>
      </c>
      <c r="G3" s="20" t="s">
        <v>54</v>
      </c>
      <c r="H3" s="11" t="s">
        <v>56</v>
      </c>
      <c r="I3" s="23" t="s">
        <v>55</v>
      </c>
      <c r="J3" s="11" t="s">
        <v>181</v>
      </c>
      <c r="K3" s="23" t="s">
        <v>182</v>
      </c>
      <c r="L3" s="11" t="s">
        <v>11</v>
      </c>
      <c r="M3" s="2" t="s">
        <v>258</v>
      </c>
      <c r="N3" s="24" t="s">
        <v>262</v>
      </c>
      <c r="O3" s="2" t="s">
        <v>131</v>
      </c>
      <c r="P3" s="2" t="s">
        <v>177</v>
      </c>
      <c r="Q3" s="24" t="s">
        <v>178</v>
      </c>
      <c r="R3" s="24" t="s">
        <v>265</v>
      </c>
      <c r="S3" s="24" t="s">
        <v>268</v>
      </c>
      <c r="T3" s="2" t="s">
        <v>123</v>
      </c>
      <c r="U3" s="11" t="s">
        <v>127</v>
      </c>
    </row>
    <row r="4" spans="1:21" s="35" customFormat="1" ht="60" x14ac:dyDescent="0.25">
      <c r="A4" s="25" t="s">
        <v>225</v>
      </c>
      <c r="B4" s="25"/>
      <c r="C4" s="25"/>
      <c r="D4" s="25" t="s">
        <v>226</v>
      </c>
      <c r="E4" s="34" t="s">
        <v>232</v>
      </c>
      <c r="F4" s="26" t="s">
        <v>103</v>
      </c>
      <c r="G4" s="38" t="s">
        <v>32</v>
      </c>
      <c r="H4" s="26" t="s">
        <v>99</v>
      </c>
      <c r="I4" s="33" t="s">
        <v>196</v>
      </c>
      <c r="J4" s="26" t="s">
        <v>221</v>
      </c>
      <c r="K4" s="33" t="s">
        <v>222</v>
      </c>
      <c r="L4" s="26" t="s">
        <v>255</v>
      </c>
      <c r="M4" s="25"/>
      <c r="N4" s="48" t="s">
        <v>214</v>
      </c>
      <c r="O4" s="25"/>
      <c r="P4" s="25" t="s">
        <v>101</v>
      </c>
      <c r="Q4" s="48" t="s">
        <v>94</v>
      </c>
      <c r="R4" s="49" t="s">
        <v>276</v>
      </c>
      <c r="S4" s="48" t="s">
        <v>274</v>
      </c>
      <c r="T4" s="50"/>
      <c r="U4" s="26"/>
    </row>
    <row r="5" spans="1:21" s="35" customFormat="1" ht="75" x14ac:dyDescent="0.25">
      <c r="A5" s="25" t="s">
        <v>227</v>
      </c>
      <c r="B5" s="25"/>
      <c r="C5" s="25"/>
      <c r="D5" s="25" t="s">
        <v>229</v>
      </c>
      <c r="E5" s="34" t="s">
        <v>228</v>
      </c>
      <c r="F5" s="26" t="s">
        <v>103</v>
      </c>
      <c r="G5" s="38" t="s">
        <v>32</v>
      </c>
      <c r="H5" s="26" t="s">
        <v>99</v>
      </c>
      <c r="I5" s="33" t="s">
        <v>196</v>
      </c>
      <c r="J5" s="26" t="s">
        <v>221</v>
      </c>
      <c r="K5" s="33" t="s">
        <v>222</v>
      </c>
      <c r="L5" s="26" t="s">
        <v>255</v>
      </c>
      <c r="M5" s="25"/>
      <c r="N5" s="48" t="s">
        <v>214</v>
      </c>
      <c r="O5" s="25"/>
      <c r="P5" s="25" t="s">
        <v>101</v>
      </c>
      <c r="Q5" s="48" t="s">
        <v>94</v>
      </c>
      <c r="R5" s="49" t="s">
        <v>276</v>
      </c>
      <c r="S5" s="48" t="s">
        <v>274</v>
      </c>
      <c r="T5" s="50"/>
      <c r="U5" s="26"/>
    </row>
    <row r="6" spans="1:21" s="35" customFormat="1" ht="60" x14ac:dyDescent="0.25">
      <c r="A6" s="25" t="s">
        <v>230</v>
      </c>
      <c r="B6" s="25"/>
      <c r="C6" s="25"/>
      <c r="D6" s="25" t="s">
        <v>233</v>
      </c>
      <c r="E6" s="34" t="s">
        <v>231</v>
      </c>
      <c r="F6" s="26" t="s">
        <v>103</v>
      </c>
      <c r="G6" s="38" t="s">
        <v>32</v>
      </c>
      <c r="H6" s="26" t="s">
        <v>99</v>
      </c>
      <c r="I6" s="33" t="s">
        <v>196</v>
      </c>
      <c r="J6" s="26" t="s">
        <v>221</v>
      </c>
      <c r="K6" s="33" t="s">
        <v>222</v>
      </c>
      <c r="L6" s="26" t="s">
        <v>255</v>
      </c>
      <c r="M6" s="25"/>
      <c r="N6" s="48" t="s">
        <v>214</v>
      </c>
      <c r="O6" s="25"/>
      <c r="P6" s="25" t="s">
        <v>101</v>
      </c>
      <c r="Q6" s="48" t="s">
        <v>94</v>
      </c>
      <c r="R6" s="49" t="s">
        <v>276</v>
      </c>
      <c r="S6" s="48" t="s">
        <v>274</v>
      </c>
      <c r="T6" s="50"/>
      <c r="U6" s="26"/>
    </row>
    <row r="7" spans="1:21" s="35" customFormat="1" ht="45" x14ac:dyDescent="0.25">
      <c r="A7" s="25" t="s">
        <v>234</v>
      </c>
      <c r="B7" s="25"/>
      <c r="C7" s="25"/>
      <c r="D7" s="25" t="s">
        <v>235</v>
      </c>
      <c r="E7" s="34"/>
      <c r="F7" s="26" t="s">
        <v>122</v>
      </c>
      <c r="G7" s="38" t="s">
        <v>51</v>
      </c>
      <c r="H7" s="26" t="s">
        <v>99</v>
      </c>
      <c r="I7" s="33" t="s">
        <v>196</v>
      </c>
      <c r="J7" s="26" t="s">
        <v>221</v>
      </c>
      <c r="K7" s="33" t="s">
        <v>222</v>
      </c>
      <c r="L7" s="26" t="s">
        <v>255</v>
      </c>
      <c r="M7" s="25"/>
      <c r="N7" s="48" t="s">
        <v>214</v>
      </c>
      <c r="O7" s="25"/>
      <c r="P7" s="25" t="s">
        <v>101</v>
      </c>
      <c r="Q7" s="48" t="s">
        <v>94</v>
      </c>
      <c r="R7" s="49" t="s">
        <v>273</v>
      </c>
      <c r="S7" s="48" t="s">
        <v>275</v>
      </c>
      <c r="T7" s="50"/>
      <c r="U7" s="26"/>
    </row>
    <row r="8" spans="1:21" s="35" customFormat="1" ht="30" x14ac:dyDescent="0.25">
      <c r="A8" s="25" t="s">
        <v>234</v>
      </c>
      <c r="B8" s="25"/>
      <c r="C8" s="25"/>
      <c r="D8" s="25"/>
      <c r="E8" s="34"/>
      <c r="F8" s="26"/>
      <c r="G8" s="38"/>
      <c r="H8" s="26"/>
      <c r="I8" s="33"/>
      <c r="J8" s="26"/>
      <c r="K8" s="33"/>
      <c r="L8" s="26"/>
      <c r="M8" s="25"/>
      <c r="N8" s="48"/>
      <c r="O8" s="25"/>
      <c r="P8" s="25"/>
      <c r="Q8" s="48"/>
      <c r="R8" s="49" t="s">
        <v>276</v>
      </c>
      <c r="S8" s="48" t="s">
        <v>274</v>
      </c>
      <c r="T8" s="50"/>
      <c r="U8" s="26"/>
    </row>
    <row r="9" spans="1:21" s="35" customFormat="1" ht="45" x14ac:dyDescent="0.25">
      <c r="A9" s="25" t="s">
        <v>314</v>
      </c>
      <c r="B9" s="25"/>
      <c r="C9" s="25"/>
      <c r="D9" s="25" t="s">
        <v>236</v>
      </c>
      <c r="E9" s="34"/>
      <c r="F9" s="26" t="s">
        <v>122</v>
      </c>
      <c r="G9" s="38" t="s">
        <v>51</v>
      </c>
      <c r="H9" s="26" t="s">
        <v>99</v>
      </c>
      <c r="I9" s="33" t="s">
        <v>196</v>
      </c>
      <c r="J9" s="26" t="s">
        <v>221</v>
      </c>
      <c r="K9" s="33" t="s">
        <v>222</v>
      </c>
      <c r="L9" s="26" t="s">
        <v>255</v>
      </c>
      <c r="M9" s="25"/>
      <c r="N9" s="48" t="s">
        <v>214</v>
      </c>
      <c r="O9" s="25"/>
      <c r="P9" s="25" t="s">
        <v>101</v>
      </c>
      <c r="Q9" s="48" t="s">
        <v>94</v>
      </c>
      <c r="R9" s="49" t="s">
        <v>273</v>
      </c>
      <c r="S9" s="48" t="s">
        <v>275</v>
      </c>
      <c r="T9" s="50"/>
      <c r="U9" s="26"/>
    </row>
    <row r="10" spans="1:21" s="35" customFormat="1" x14ac:dyDescent="0.25">
      <c r="A10" s="25" t="s">
        <v>314</v>
      </c>
      <c r="B10" s="25"/>
      <c r="C10" s="25"/>
      <c r="D10" s="25"/>
      <c r="E10" s="34"/>
      <c r="F10" s="26"/>
      <c r="G10" s="38"/>
      <c r="H10" s="26"/>
      <c r="I10" s="33"/>
      <c r="J10" s="26"/>
      <c r="K10" s="33"/>
      <c r="L10" s="26"/>
      <c r="M10" s="25"/>
      <c r="N10" s="48"/>
      <c r="O10" s="25"/>
      <c r="P10" s="25"/>
      <c r="Q10" s="48"/>
      <c r="R10" s="49" t="s">
        <v>276</v>
      </c>
      <c r="S10" s="48" t="s">
        <v>274</v>
      </c>
      <c r="T10" s="50"/>
      <c r="U10" s="26"/>
    </row>
    <row r="11" spans="1:21" s="35" customFormat="1" ht="45" x14ac:dyDescent="0.25">
      <c r="A11" s="25" t="s">
        <v>237</v>
      </c>
      <c r="B11" s="25"/>
      <c r="C11" s="25"/>
      <c r="D11" s="25" t="s">
        <v>238</v>
      </c>
      <c r="E11" s="34"/>
      <c r="F11" s="26" t="s">
        <v>122</v>
      </c>
      <c r="G11" s="38" t="s">
        <v>51</v>
      </c>
      <c r="H11" s="26" t="s">
        <v>99</v>
      </c>
      <c r="I11" s="33" t="s">
        <v>196</v>
      </c>
      <c r="J11" s="26" t="s">
        <v>221</v>
      </c>
      <c r="K11" s="33" t="s">
        <v>222</v>
      </c>
      <c r="L11" s="26" t="s">
        <v>255</v>
      </c>
      <c r="M11" s="25"/>
      <c r="N11" s="48" t="s">
        <v>214</v>
      </c>
      <c r="O11" s="25"/>
      <c r="P11" s="25" t="s">
        <v>101</v>
      </c>
      <c r="Q11" s="48" t="s">
        <v>94</v>
      </c>
      <c r="R11" s="49" t="s">
        <v>273</v>
      </c>
      <c r="S11" s="48" t="s">
        <v>275</v>
      </c>
      <c r="T11" s="50"/>
      <c r="U11" s="26"/>
    </row>
    <row r="12" spans="1:21" s="35" customFormat="1" x14ac:dyDescent="0.25">
      <c r="A12" s="25" t="s">
        <v>237</v>
      </c>
      <c r="B12" s="25"/>
      <c r="C12" s="25"/>
      <c r="D12" s="25"/>
      <c r="E12" s="34"/>
      <c r="F12" s="26"/>
      <c r="G12" s="38"/>
      <c r="H12" s="26"/>
      <c r="I12" s="33"/>
      <c r="J12" s="26"/>
      <c r="K12" s="33"/>
      <c r="L12" s="26"/>
      <c r="M12" s="25"/>
      <c r="N12" s="48"/>
      <c r="O12" s="25"/>
      <c r="P12" s="25"/>
      <c r="Q12" s="48"/>
      <c r="R12" s="49" t="s">
        <v>276</v>
      </c>
      <c r="S12" s="48" t="s">
        <v>274</v>
      </c>
      <c r="T12" s="50"/>
      <c r="U12" s="26"/>
    </row>
    <row r="13" spans="1:21" s="35" customFormat="1" ht="45" x14ac:dyDescent="0.25">
      <c r="A13" s="25" t="s">
        <v>239</v>
      </c>
      <c r="B13" s="25"/>
      <c r="C13" s="25"/>
      <c r="D13" s="25" t="s">
        <v>240</v>
      </c>
      <c r="E13" s="34"/>
      <c r="F13" s="26" t="s">
        <v>122</v>
      </c>
      <c r="G13" s="38" t="s">
        <v>51</v>
      </c>
      <c r="H13" s="26" t="s">
        <v>99</v>
      </c>
      <c r="I13" s="33" t="s">
        <v>196</v>
      </c>
      <c r="J13" s="26" t="s">
        <v>221</v>
      </c>
      <c r="K13" s="33" t="s">
        <v>222</v>
      </c>
      <c r="L13" s="26" t="s">
        <v>255</v>
      </c>
      <c r="M13" s="25"/>
      <c r="N13" s="48" t="s">
        <v>214</v>
      </c>
      <c r="O13" s="25"/>
      <c r="P13" s="25" t="s">
        <v>101</v>
      </c>
      <c r="Q13" s="48" t="s">
        <v>94</v>
      </c>
      <c r="R13" s="49" t="s">
        <v>273</v>
      </c>
      <c r="S13" s="48" t="s">
        <v>275</v>
      </c>
      <c r="T13" s="50"/>
      <c r="U13" s="26"/>
    </row>
    <row r="14" spans="1:21" ht="30" x14ac:dyDescent="0.25">
      <c r="A14" s="25" t="s">
        <v>239</v>
      </c>
      <c r="F14" s="13" t="s">
        <v>118</v>
      </c>
      <c r="G14" s="18" t="s">
        <v>47</v>
      </c>
      <c r="L14" s="26" t="s">
        <v>255</v>
      </c>
      <c r="N14" s="18" t="s">
        <v>214</v>
      </c>
      <c r="R14" s="19" t="s">
        <v>276</v>
      </c>
      <c r="S14" s="18" t="s">
        <v>274</v>
      </c>
    </row>
    <row r="15" spans="1:21" s="35" customFormat="1" ht="45" x14ac:dyDescent="0.25">
      <c r="A15" s="25" t="s">
        <v>242</v>
      </c>
      <c r="B15" s="25"/>
      <c r="C15" s="25"/>
      <c r="D15" s="25" t="s">
        <v>243</v>
      </c>
      <c r="E15" s="34"/>
      <c r="F15" s="26" t="s">
        <v>122</v>
      </c>
      <c r="G15" s="38" t="s">
        <v>51</v>
      </c>
      <c r="H15" s="26" t="s">
        <v>99</v>
      </c>
      <c r="I15" s="33" t="s">
        <v>196</v>
      </c>
      <c r="J15" s="26" t="s">
        <v>221</v>
      </c>
      <c r="K15" s="33" t="s">
        <v>222</v>
      </c>
      <c r="L15" s="26" t="s">
        <v>255</v>
      </c>
      <c r="M15" s="25"/>
      <c r="N15" s="48" t="s">
        <v>214</v>
      </c>
      <c r="O15" s="25"/>
      <c r="P15" s="25" t="s">
        <v>101</v>
      </c>
      <c r="Q15" s="48" t="s">
        <v>94</v>
      </c>
      <c r="R15" s="49" t="s">
        <v>273</v>
      </c>
      <c r="S15" s="48" t="s">
        <v>275</v>
      </c>
      <c r="T15" s="50"/>
      <c r="U15" s="26"/>
    </row>
    <row r="16" spans="1:21" s="35" customFormat="1" x14ac:dyDescent="0.25">
      <c r="A16" s="25" t="s">
        <v>242</v>
      </c>
      <c r="B16" s="25"/>
      <c r="C16" s="25"/>
      <c r="D16" s="25"/>
      <c r="E16" s="34"/>
      <c r="F16" s="26"/>
      <c r="G16" s="38"/>
      <c r="H16" s="26"/>
      <c r="I16" s="33"/>
      <c r="J16" s="26"/>
      <c r="K16" s="33"/>
      <c r="L16" s="26"/>
      <c r="M16" s="25"/>
      <c r="N16" s="48"/>
      <c r="O16" s="25"/>
      <c r="P16" s="25"/>
      <c r="Q16" s="48"/>
      <c r="R16" s="49" t="s">
        <v>276</v>
      </c>
      <c r="S16" s="48" t="s">
        <v>274</v>
      </c>
      <c r="T16" s="50"/>
      <c r="U16" s="26"/>
    </row>
    <row r="17" spans="1:21" s="35" customFormat="1" ht="45" x14ac:dyDescent="0.25">
      <c r="A17" s="25" t="s">
        <v>244</v>
      </c>
      <c r="B17" s="25"/>
      <c r="C17" s="25"/>
      <c r="D17" s="25" t="s">
        <v>245</v>
      </c>
      <c r="E17" s="34"/>
      <c r="F17" s="26" t="s">
        <v>122</v>
      </c>
      <c r="G17" s="38" t="s">
        <v>51</v>
      </c>
      <c r="H17" s="26" t="s">
        <v>99</v>
      </c>
      <c r="I17" s="33" t="s">
        <v>196</v>
      </c>
      <c r="J17" s="26" t="s">
        <v>221</v>
      </c>
      <c r="K17" s="33" t="s">
        <v>222</v>
      </c>
      <c r="L17" s="26" t="s">
        <v>255</v>
      </c>
      <c r="M17" s="25"/>
      <c r="N17" s="48" t="s">
        <v>214</v>
      </c>
      <c r="O17" s="25"/>
      <c r="P17" s="25" t="s">
        <v>101</v>
      </c>
      <c r="Q17" s="48" t="s">
        <v>94</v>
      </c>
      <c r="R17" s="49" t="s">
        <v>273</v>
      </c>
      <c r="S17" s="48" t="s">
        <v>275</v>
      </c>
      <c r="T17" s="50"/>
      <c r="U17" s="26"/>
    </row>
    <row r="18" spans="1:21" s="35" customFormat="1" x14ac:dyDescent="0.25">
      <c r="A18" s="25" t="s">
        <v>244</v>
      </c>
      <c r="B18" s="25"/>
      <c r="C18" s="25"/>
      <c r="D18" s="25"/>
      <c r="E18" s="34"/>
      <c r="F18" s="26"/>
      <c r="G18" s="38"/>
      <c r="H18" s="26"/>
      <c r="I18" s="33"/>
      <c r="J18" s="26"/>
      <c r="K18" s="33"/>
      <c r="L18" s="26"/>
      <c r="M18" s="25"/>
      <c r="N18" s="48"/>
      <c r="O18" s="25"/>
      <c r="P18" s="25"/>
      <c r="Q18" s="48"/>
      <c r="R18" s="49" t="s">
        <v>276</v>
      </c>
      <c r="S18" s="48" t="s">
        <v>274</v>
      </c>
      <c r="T18" s="50"/>
      <c r="U18" s="26"/>
    </row>
    <row r="19" spans="1:21" s="35" customFormat="1" ht="45" x14ac:dyDescent="0.25">
      <c r="A19" s="25" t="s">
        <v>246</v>
      </c>
      <c r="B19" s="25"/>
      <c r="C19" s="25"/>
      <c r="D19" s="25" t="s">
        <v>247</v>
      </c>
      <c r="E19" s="34"/>
      <c r="F19" s="26" t="s">
        <v>103</v>
      </c>
      <c r="G19" s="38" t="s">
        <v>32</v>
      </c>
      <c r="H19" s="26" t="s">
        <v>99</v>
      </c>
      <c r="I19" s="33" t="s">
        <v>196</v>
      </c>
      <c r="J19" s="26" t="s">
        <v>221</v>
      </c>
      <c r="K19" s="33" t="s">
        <v>222</v>
      </c>
      <c r="L19" s="26" t="s">
        <v>255</v>
      </c>
      <c r="M19" s="25"/>
      <c r="N19" s="48" t="s">
        <v>214</v>
      </c>
      <c r="O19" s="25"/>
      <c r="P19" s="25" t="s">
        <v>101</v>
      </c>
      <c r="Q19" s="48" t="s">
        <v>94</v>
      </c>
      <c r="R19" s="49" t="s">
        <v>273</v>
      </c>
      <c r="S19" s="48" t="s">
        <v>275</v>
      </c>
      <c r="T19" s="50"/>
      <c r="U19" s="26"/>
    </row>
    <row r="20" spans="1:21" s="35" customFormat="1" x14ac:dyDescent="0.25">
      <c r="A20" s="25" t="s">
        <v>246</v>
      </c>
      <c r="B20" s="25"/>
      <c r="C20" s="25"/>
      <c r="D20" s="25"/>
      <c r="E20" s="34"/>
      <c r="F20" s="26"/>
      <c r="G20" s="38"/>
      <c r="H20" s="26"/>
      <c r="I20" s="33"/>
      <c r="J20" s="26"/>
      <c r="K20" s="33"/>
      <c r="L20" s="26"/>
      <c r="M20" s="25"/>
      <c r="N20" s="48"/>
      <c r="O20" s="25"/>
      <c r="P20" s="25"/>
      <c r="Q20" s="48"/>
      <c r="R20" s="49" t="s">
        <v>276</v>
      </c>
      <c r="S20" s="48" t="s">
        <v>274</v>
      </c>
      <c r="T20" s="50"/>
      <c r="U20" s="26"/>
    </row>
    <row r="21" spans="1:21" s="35" customFormat="1" ht="45" x14ac:dyDescent="0.25">
      <c r="A21" s="25" t="s">
        <v>248</v>
      </c>
      <c r="B21" s="25"/>
      <c r="C21" s="25"/>
      <c r="D21" s="25" t="s">
        <v>249</v>
      </c>
      <c r="E21" s="34"/>
      <c r="F21" s="26" t="s">
        <v>103</v>
      </c>
      <c r="G21" s="38" t="s">
        <v>32</v>
      </c>
      <c r="H21" s="26" t="s">
        <v>99</v>
      </c>
      <c r="I21" s="33" t="s">
        <v>196</v>
      </c>
      <c r="J21" s="26" t="s">
        <v>221</v>
      </c>
      <c r="K21" s="33" t="s">
        <v>222</v>
      </c>
      <c r="L21" s="26" t="s">
        <v>255</v>
      </c>
      <c r="M21" s="25"/>
      <c r="N21" s="48" t="s">
        <v>214</v>
      </c>
      <c r="O21" s="25"/>
      <c r="P21" s="25" t="s">
        <v>101</v>
      </c>
      <c r="Q21" s="48" t="s">
        <v>94</v>
      </c>
      <c r="R21" s="49" t="s">
        <v>273</v>
      </c>
      <c r="S21" s="48" t="s">
        <v>275</v>
      </c>
      <c r="T21" s="50"/>
      <c r="U21" s="26"/>
    </row>
    <row r="22" spans="1:21" x14ac:dyDescent="0.25">
      <c r="A22" s="25" t="s">
        <v>248</v>
      </c>
      <c r="R22" s="49" t="s">
        <v>276</v>
      </c>
      <c r="S22" s="18" t="s">
        <v>274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4" activePane="bottomLeft" state="frozenSplit"/>
      <selection pane="bottomLeft" activeCell="A4" sqref="A4"/>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129</v>
      </c>
      <c r="H1" s="10"/>
      <c r="I1" s="6"/>
      <c r="J1" s="6"/>
    </row>
    <row r="2" spans="1:10" ht="45" x14ac:dyDescent="0.25">
      <c r="A2" s="3"/>
      <c r="B2" s="3"/>
      <c r="C2" s="3"/>
      <c r="D2" s="3"/>
      <c r="E2" s="3"/>
      <c r="F2" s="9"/>
      <c r="G2" s="9" t="s">
        <v>130</v>
      </c>
      <c r="H2" s="10"/>
      <c r="I2" s="6"/>
      <c r="J2" s="6"/>
    </row>
    <row r="3" spans="1:10" s="1" customFormat="1" ht="13.5" customHeight="1" x14ac:dyDescent="0.25">
      <c r="A3" s="2" t="s">
        <v>1</v>
      </c>
      <c r="B3" s="2" t="s">
        <v>2</v>
      </c>
      <c r="C3" s="2" t="s">
        <v>180</v>
      </c>
      <c r="D3" s="2" t="s">
        <v>123</v>
      </c>
      <c r="E3" s="2" t="s">
        <v>124</v>
      </c>
      <c r="F3" s="7" t="s">
        <v>14</v>
      </c>
      <c r="G3" s="7"/>
      <c r="H3" s="8"/>
      <c r="I3" s="5"/>
      <c r="J3" s="5"/>
    </row>
    <row r="4" spans="1:10" ht="30" x14ac:dyDescent="0.25">
      <c r="A4" s="12" t="s">
        <v>102</v>
      </c>
      <c r="B4" s="13" t="s">
        <v>31</v>
      </c>
    </row>
    <row r="5" spans="1:10" x14ac:dyDescent="0.25">
      <c r="A5" s="12" t="s">
        <v>103</v>
      </c>
      <c r="B5" s="13" t="s">
        <v>32</v>
      </c>
    </row>
    <row r="6" spans="1:10" ht="30" x14ac:dyDescent="0.25">
      <c r="A6" s="12" t="s">
        <v>104</v>
      </c>
      <c r="B6" s="13" t="s">
        <v>33</v>
      </c>
    </row>
    <row r="7" spans="1:10" x14ac:dyDescent="0.25">
      <c r="A7" s="12" t="s">
        <v>105</v>
      </c>
      <c r="B7" s="13" t="s">
        <v>34</v>
      </c>
    </row>
    <row r="8" spans="1:10" ht="30" x14ac:dyDescent="0.25">
      <c r="A8" s="12" t="s">
        <v>106</v>
      </c>
      <c r="B8" s="13" t="s">
        <v>35</v>
      </c>
    </row>
    <row r="9" spans="1:10" ht="30" x14ac:dyDescent="0.25">
      <c r="A9" s="12" t="s">
        <v>107</v>
      </c>
      <c r="B9" s="13" t="s">
        <v>36</v>
      </c>
    </row>
    <row r="10" spans="1:10" x14ac:dyDescent="0.25">
      <c r="A10" s="12" t="s">
        <v>108</v>
      </c>
      <c r="B10" s="13" t="s">
        <v>37</v>
      </c>
    </row>
    <row r="11" spans="1:10" x14ac:dyDescent="0.25">
      <c r="A11" s="12" t="s">
        <v>109</v>
      </c>
      <c r="B11" s="13" t="s">
        <v>38</v>
      </c>
    </row>
    <row r="12" spans="1:10" x14ac:dyDescent="0.25">
      <c r="A12" s="12" t="s">
        <v>110</v>
      </c>
      <c r="B12" s="13" t="s">
        <v>39</v>
      </c>
    </row>
    <row r="13" spans="1:10" x14ac:dyDescent="0.25">
      <c r="A13" s="12" t="s">
        <v>111</v>
      </c>
      <c r="B13" s="13" t="s">
        <v>40</v>
      </c>
    </row>
    <row r="14" spans="1:10" x14ac:dyDescent="0.25">
      <c r="A14" s="12" t="s">
        <v>112</v>
      </c>
      <c r="B14" s="13" t="s">
        <v>41</v>
      </c>
    </row>
    <row r="15" spans="1:10" x14ac:dyDescent="0.25">
      <c r="A15" s="12" t="s">
        <v>113</v>
      </c>
      <c r="B15" s="13" t="s">
        <v>42</v>
      </c>
    </row>
    <row r="16" spans="1:10" x14ac:dyDescent="0.25">
      <c r="A16" s="12" t="s">
        <v>114</v>
      </c>
      <c r="B16" s="13" t="s">
        <v>43</v>
      </c>
    </row>
    <row r="17" spans="1:2" x14ac:dyDescent="0.25">
      <c r="A17" s="12" t="s">
        <v>115</v>
      </c>
      <c r="B17" s="13" t="s">
        <v>44</v>
      </c>
    </row>
    <row r="18" spans="1:2" x14ac:dyDescent="0.25">
      <c r="A18" s="12" t="s">
        <v>116</v>
      </c>
      <c r="B18" s="13" t="s">
        <v>45</v>
      </c>
    </row>
    <row r="19" spans="1:2" ht="30" x14ac:dyDescent="0.25">
      <c r="A19" s="12" t="s">
        <v>117</v>
      </c>
      <c r="B19" s="13" t="s">
        <v>46</v>
      </c>
    </row>
    <row r="20" spans="1:2" x14ac:dyDescent="0.25">
      <c r="A20" s="12" t="s">
        <v>118</v>
      </c>
      <c r="B20" s="13" t="s">
        <v>47</v>
      </c>
    </row>
    <row r="21" spans="1:2" ht="30" x14ac:dyDescent="0.25">
      <c r="A21" s="12" t="s">
        <v>119</v>
      </c>
      <c r="B21" s="13" t="s">
        <v>48</v>
      </c>
    </row>
    <row r="22" spans="1:2" x14ac:dyDescent="0.25">
      <c r="A22" s="12" t="s">
        <v>120</v>
      </c>
      <c r="B22" s="13" t="s">
        <v>49</v>
      </c>
    </row>
    <row r="23" spans="1:2" x14ac:dyDescent="0.25">
      <c r="A23" s="12" t="s">
        <v>121</v>
      </c>
      <c r="B23" s="13" t="s">
        <v>50</v>
      </c>
    </row>
    <row r="24" spans="1:2" ht="30" x14ac:dyDescent="0.25">
      <c r="A24" s="12" t="s">
        <v>122</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4"/>
  <sheetViews>
    <sheetView workbookViewId="0">
      <pane ySplit="3" topLeftCell="A4" activePane="bottomLeft" state="frozenSplit"/>
      <selection pane="bottomLeft" activeCell="A13" sqref="A13"/>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252</v>
      </c>
      <c r="E3" s="16" t="s">
        <v>136</v>
      </c>
      <c r="F3" s="41" t="s">
        <v>137</v>
      </c>
      <c r="G3" s="11" t="s">
        <v>123</v>
      </c>
      <c r="H3" s="19" t="s">
        <v>124</v>
      </c>
      <c r="I3" s="11" t="s">
        <v>11</v>
      </c>
      <c r="J3" s="11" t="s">
        <v>258</v>
      </c>
      <c r="K3" s="23" t="s">
        <v>262</v>
      </c>
      <c r="L3" s="11" t="s">
        <v>131</v>
      </c>
      <c r="M3" s="23"/>
      <c r="O3" s="23"/>
    </row>
    <row r="4" spans="1:15" ht="45" x14ac:dyDescent="0.25">
      <c r="A4" s="13" t="s">
        <v>101</v>
      </c>
      <c r="B4" s="13" t="s">
        <v>94</v>
      </c>
      <c r="D4" s="13" t="s">
        <v>253</v>
      </c>
      <c r="E4" s="13" t="s">
        <v>165</v>
      </c>
      <c r="F4" s="21" t="s">
        <v>155</v>
      </c>
      <c r="G4" s="36" t="s">
        <v>125</v>
      </c>
      <c r="H4" s="13" t="s">
        <v>126</v>
      </c>
      <c r="K4" s="36"/>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A19" sqref="A19"/>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138</v>
      </c>
      <c r="H1" s="9"/>
      <c r="I1" s="28"/>
      <c r="J1" s="28"/>
    </row>
    <row r="2" spans="1:10" ht="45" x14ac:dyDescent="0.25">
      <c r="B2" s="3"/>
      <c r="C2" s="3"/>
      <c r="D2" s="3"/>
      <c r="E2" s="43"/>
      <c r="F2" s="9"/>
      <c r="G2" s="9" t="s">
        <v>139</v>
      </c>
      <c r="H2" s="9"/>
      <c r="I2" s="28"/>
      <c r="J2" s="28"/>
    </row>
    <row r="3" spans="1:10" s="11" customFormat="1" ht="13.5" customHeight="1" x14ac:dyDescent="0.25">
      <c r="A3" s="2" t="s">
        <v>1</v>
      </c>
      <c r="B3" s="2" t="s">
        <v>2</v>
      </c>
      <c r="C3" s="2" t="s">
        <v>180</v>
      </c>
      <c r="D3" s="2" t="s">
        <v>123</v>
      </c>
      <c r="E3" s="42" t="s">
        <v>124</v>
      </c>
      <c r="F3" s="7" t="s">
        <v>14</v>
      </c>
      <c r="G3" s="7"/>
      <c r="H3" s="7"/>
      <c r="I3" s="29"/>
      <c r="J3" s="29"/>
    </row>
    <row r="4" spans="1:10" x14ac:dyDescent="0.25">
      <c r="A4" s="3" t="s">
        <v>159</v>
      </c>
      <c r="B4" s="13" t="s">
        <v>140</v>
      </c>
    </row>
    <row r="5" spans="1:10" ht="30" x14ac:dyDescent="0.25">
      <c r="A5" s="3" t="s">
        <v>160</v>
      </c>
      <c r="B5" s="13" t="s">
        <v>141</v>
      </c>
      <c r="C5" s="13" t="s">
        <v>142</v>
      </c>
    </row>
    <row r="6" spans="1:10" ht="30" x14ac:dyDescent="0.25">
      <c r="A6" s="3" t="s">
        <v>161</v>
      </c>
      <c r="B6" s="13" t="s">
        <v>146</v>
      </c>
      <c r="C6" s="13" t="s">
        <v>147</v>
      </c>
    </row>
    <row r="7" spans="1:10" ht="30" x14ac:dyDescent="0.25">
      <c r="A7" s="3" t="s">
        <v>162</v>
      </c>
      <c r="B7" s="13" t="s">
        <v>150</v>
      </c>
      <c r="C7" s="13" t="s">
        <v>151</v>
      </c>
    </row>
    <row r="8" spans="1:10" ht="45" x14ac:dyDescent="0.25">
      <c r="A8" s="3" t="s">
        <v>163</v>
      </c>
      <c r="B8" s="13" t="s">
        <v>198</v>
      </c>
      <c r="C8" s="13" t="s">
        <v>152</v>
      </c>
    </row>
    <row r="9" spans="1:10" x14ac:dyDescent="0.25">
      <c r="A9" s="3" t="s">
        <v>164</v>
      </c>
      <c r="B9" s="13" t="s">
        <v>153</v>
      </c>
      <c r="C9" s="13" t="s">
        <v>154</v>
      </c>
    </row>
    <row r="10" spans="1:10" x14ac:dyDescent="0.25">
      <c r="A10" s="3" t="s">
        <v>165</v>
      </c>
      <c r="B10" s="13" t="s">
        <v>155</v>
      </c>
      <c r="C10" s="13" t="s">
        <v>156</v>
      </c>
    </row>
    <row r="11" spans="1:10" x14ac:dyDescent="0.25">
      <c r="A11" s="3" t="s">
        <v>166</v>
      </c>
      <c r="B11" s="13" t="s">
        <v>157</v>
      </c>
      <c r="C11" s="13" t="s">
        <v>158</v>
      </c>
    </row>
    <row r="12" spans="1:10" ht="30" x14ac:dyDescent="0.25">
      <c r="A12" s="3" t="s">
        <v>167</v>
      </c>
      <c r="B12" s="13" t="s">
        <v>148</v>
      </c>
      <c r="C12" s="13" t="s">
        <v>149</v>
      </c>
    </row>
    <row r="13" spans="1:10" ht="30" x14ac:dyDescent="0.25">
      <c r="A13" s="3" t="s">
        <v>200</v>
      </c>
      <c r="B13" s="13" t="s">
        <v>201</v>
      </c>
      <c r="C13" s="13" t="s">
        <v>202</v>
      </c>
    </row>
    <row r="14" spans="1:10" x14ac:dyDescent="0.25">
      <c r="A14" s="3" t="s">
        <v>168</v>
      </c>
      <c r="B14" s="13" t="s">
        <v>204</v>
      </c>
      <c r="C14" s="13" t="s">
        <v>203</v>
      </c>
    </row>
    <row r="15" spans="1:10" ht="45" x14ac:dyDescent="0.25">
      <c r="A15" s="3" t="s">
        <v>169</v>
      </c>
      <c r="B15" s="13" t="s">
        <v>143</v>
      </c>
      <c r="C15" s="13" t="s">
        <v>144</v>
      </c>
    </row>
    <row r="16" spans="1:10" x14ac:dyDescent="0.25">
      <c r="A16" s="3" t="s">
        <v>170</v>
      </c>
      <c r="B16" s="13" t="s">
        <v>199</v>
      </c>
      <c r="C16" s="13" t="s">
        <v>145</v>
      </c>
    </row>
    <row r="17" spans="1:3" x14ac:dyDescent="0.25">
      <c r="A17" s="3" t="s">
        <v>205</v>
      </c>
      <c r="B17" s="13" t="s">
        <v>209</v>
      </c>
      <c r="C17" s="13" t="s">
        <v>210</v>
      </c>
    </row>
    <row r="18" spans="1:3" x14ac:dyDescent="0.25">
      <c r="A18" s="3" t="s">
        <v>208</v>
      </c>
      <c r="B18" s="13" t="s">
        <v>206</v>
      </c>
      <c r="C18" s="13" t="s">
        <v>207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5"/>
  <sheetViews>
    <sheetView workbookViewId="0">
      <pane ySplit="3" topLeftCell="A4" activePane="bottomLeft" state="frozenSplit"/>
      <selection pane="bottomLeft" activeCell="A6" sqref="A6"/>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258</v>
      </c>
      <c r="F3" s="23" t="s">
        <v>262</v>
      </c>
      <c r="G3" s="11" t="s">
        <v>131</v>
      </c>
      <c r="H3" s="11" t="s">
        <v>179</v>
      </c>
      <c r="I3" s="23" t="s">
        <v>183</v>
      </c>
      <c r="J3" s="11" t="s">
        <v>85</v>
      </c>
      <c r="K3" s="23" t="s">
        <v>86</v>
      </c>
      <c r="L3" s="2" t="s">
        <v>26</v>
      </c>
      <c r="M3" s="24" t="s">
        <v>70</v>
      </c>
      <c r="N3" s="2" t="s">
        <v>27</v>
      </c>
      <c r="O3" s="2" t="s">
        <v>28</v>
      </c>
      <c r="P3" s="2" t="s">
        <v>29</v>
      </c>
      <c r="Q3" s="2" t="s">
        <v>30</v>
      </c>
      <c r="R3" s="2" t="s">
        <v>25</v>
      </c>
      <c r="S3" s="24" t="s">
        <v>71</v>
      </c>
      <c r="T3" s="24" t="s">
        <v>87</v>
      </c>
      <c r="U3" s="24" t="s">
        <v>88</v>
      </c>
      <c r="V3" s="24" t="s">
        <v>89</v>
      </c>
      <c r="W3" s="24" t="s">
        <v>90</v>
      </c>
      <c r="X3" s="24" t="s">
        <v>123</v>
      </c>
      <c r="Y3" s="24" t="s">
        <v>124</v>
      </c>
      <c r="Z3" s="7" t="s">
        <v>14</v>
      </c>
      <c r="AA3" s="7"/>
      <c r="AB3" s="8"/>
      <c r="AC3" s="5"/>
      <c r="AD3" s="5"/>
    </row>
    <row r="4" spans="1:30" ht="60" x14ac:dyDescent="0.25">
      <c r="A4" s="13" t="s">
        <v>98</v>
      </c>
      <c r="B4" s="13" t="s">
        <v>24</v>
      </c>
      <c r="C4" s="13" t="s">
        <v>23</v>
      </c>
      <c r="D4" s="13" t="s">
        <v>255</v>
      </c>
      <c r="F4" s="21" t="s">
        <v>214</v>
      </c>
    </row>
    <row r="5" spans="1:30" ht="60" x14ac:dyDescent="0.25">
      <c r="A5" s="13" t="s">
        <v>99</v>
      </c>
      <c r="B5" s="13" t="s">
        <v>196</v>
      </c>
      <c r="C5" s="13" t="s">
        <v>197</v>
      </c>
      <c r="D5" s="13" t="s">
        <v>263</v>
      </c>
      <c r="F5" s="21" t="s">
        <v>264</v>
      </c>
      <c r="R5" s="13" t="s">
        <v>98</v>
      </c>
      <c r="S5" s="21" t="s">
        <v>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9"/>
  <sheetViews>
    <sheetView workbookViewId="0">
      <pane ySplit="3" topLeftCell="A7" activePane="bottomLeft" state="frozenSplit"/>
      <selection pane="bottomLeft" activeCell="A10" sqref="A10"/>
    </sheetView>
  </sheetViews>
  <sheetFormatPr defaultRowHeight="15" x14ac:dyDescent="0.25"/>
  <cols>
    <col min="1" max="1" width="19.28515625" style="13" customWidth="1"/>
    <col min="2" max="2" width="26.85546875" style="13" customWidth="1"/>
    <col min="3" max="3" width="59.710937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0" x14ac:dyDescent="0.25">
      <c r="A3" s="2" t="s">
        <v>1</v>
      </c>
      <c r="B3" s="2" t="s">
        <v>2</v>
      </c>
      <c r="C3" s="2" t="s">
        <v>3</v>
      </c>
      <c r="D3" s="11" t="s">
        <v>11</v>
      </c>
      <c r="E3" s="11" t="s">
        <v>258</v>
      </c>
      <c r="F3" s="23" t="s">
        <v>262</v>
      </c>
      <c r="G3" s="11" t="s">
        <v>131</v>
      </c>
      <c r="H3" s="11" t="s">
        <v>77</v>
      </c>
      <c r="I3" s="23" t="s">
        <v>78</v>
      </c>
      <c r="J3" s="23" t="s">
        <v>79</v>
      </c>
      <c r="K3" s="23" t="s">
        <v>80</v>
      </c>
      <c r="L3" s="23" t="s">
        <v>83</v>
      </c>
      <c r="M3" s="23" t="s">
        <v>84</v>
      </c>
      <c r="N3" s="23" t="s">
        <v>184</v>
      </c>
      <c r="O3" s="23" t="s">
        <v>185</v>
      </c>
      <c r="P3" s="29" t="s">
        <v>26</v>
      </c>
      <c r="Q3" s="31" t="s">
        <v>70</v>
      </c>
      <c r="R3" s="29" t="s">
        <v>73</v>
      </c>
      <c r="S3" s="29" t="s">
        <v>123</v>
      </c>
      <c r="T3" s="29" t="s">
        <v>124</v>
      </c>
      <c r="U3" s="11" t="s">
        <v>14</v>
      </c>
    </row>
    <row r="4" spans="1:21" ht="150" x14ac:dyDescent="0.25">
      <c r="A4" s="13" t="s">
        <v>277</v>
      </c>
      <c r="B4" s="13" t="s">
        <v>278</v>
      </c>
      <c r="C4" s="13" t="s">
        <v>279</v>
      </c>
      <c r="H4" s="13" t="s">
        <v>101</v>
      </c>
      <c r="I4" s="21" t="s">
        <v>94</v>
      </c>
      <c r="N4" s="22" t="s">
        <v>221</v>
      </c>
      <c r="O4" s="21" t="s">
        <v>222</v>
      </c>
      <c r="P4" s="13" t="s">
        <v>234</v>
      </c>
      <c r="Q4" s="21" t="s">
        <v>235</v>
      </c>
    </row>
    <row r="5" spans="1:21" ht="135" x14ac:dyDescent="0.25">
      <c r="A5" s="13" t="s">
        <v>280</v>
      </c>
      <c r="B5" s="13" t="s">
        <v>281</v>
      </c>
      <c r="C5" s="13" t="s">
        <v>282</v>
      </c>
      <c r="H5" s="13" t="s">
        <v>101</v>
      </c>
      <c r="I5" s="21" t="s">
        <v>94</v>
      </c>
      <c r="N5" s="22" t="s">
        <v>221</v>
      </c>
      <c r="O5" s="21" t="s">
        <v>222</v>
      </c>
      <c r="P5" s="13" t="s">
        <v>242</v>
      </c>
      <c r="Q5" s="21" t="s">
        <v>243</v>
      </c>
    </row>
    <row r="6" spans="1:21" ht="105" x14ac:dyDescent="0.25">
      <c r="A6" s="13" t="s">
        <v>283</v>
      </c>
      <c r="B6" s="13" t="s">
        <v>284</v>
      </c>
      <c r="C6" s="13" t="s">
        <v>285</v>
      </c>
      <c r="H6" s="13" t="s">
        <v>101</v>
      </c>
      <c r="I6" s="21" t="s">
        <v>94</v>
      </c>
      <c r="N6" s="22" t="s">
        <v>221</v>
      </c>
      <c r="O6" s="21" t="s">
        <v>222</v>
      </c>
    </row>
    <row r="7" spans="1:21" ht="45" x14ac:dyDescent="0.25">
      <c r="A7" s="13" t="s">
        <v>286</v>
      </c>
      <c r="B7" s="13" t="s">
        <v>287</v>
      </c>
      <c r="C7" s="13" t="s">
        <v>288</v>
      </c>
      <c r="H7" s="13" t="s">
        <v>101</v>
      </c>
      <c r="I7" s="21" t="s">
        <v>94</v>
      </c>
      <c r="N7" s="22" t="s">
        <v>221</v>
      </c>
      <c r="O7" s="21" t="s">
        <v>222</v>
      </c>
      <c r="P7" s="13" t="s">
        <v>242</v>
      </c>
      <c r="Q7" s="21" t="s">
        <v>243</v>
      </c>
    </row>
    <row r="8" spans="1:21" ht="105" x14ac:dyDescent="0.25">
      <c r="A8" s="13" t="s">
        <v>289</v>
      </c>
      <c r="B8" s="13" t="s">
        <v>290</v>
      </c>
      <c r="C8" s="13" t="s">
        <v>291</v>
      </c>
      <c r="H8" s="13" t="s">
        <v>101</v>
      </c>
      <c r="I8" s="21" t="s">
        <v>94</v>
      </c>
      <c r="N8" s="22" t="s">
        <v>221</v>
      </c>
      <c r="O8" s="21" t="s">
        <v>222</v>
      </c>
      <c r="P8" s="13" t="s">
        <v>242</v>
      </c>
      <c r="Q8" s="21" t="s">
        <v>243</v>
      </c>
    </row>
    <row r="9" spans="1:21" ht="165" x14ac:dyDescent="0.25">
      <c r="A9" s="13" t="s">
        <v>292</v>
      </c>
      <c r="B9" s="13" t="s">
        <v>293</v>
      </c>
      <c r="C9" s="13" t="s">
        <v>294</v>
      </c>
      <c r="H9" s="13" t="s">
        <v>101</v>
      </c>
      <c r="I9" s="21" t="s">
        <v>94</v>
      </c>
      <c r="N9" s="22" t="s">
        <v>221</v>
      </c>
      <c r="O9" s="21" t="s">
        <v>222</v>
      </c>
      <c r="P9" s="25" t="s">
        <v>246</v>
      </c>
      <c r="Q9" s="21" t="s">
        <v>247</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6"/>
  <sheetViews>
    <sheetView topLeftCell="A6" workbookViewId="0">
      <selection activeCell="D6" sqref="D6"/>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258</v>
      </c>
      <c r="F3" s="23" t="s">
        <v>262</v>
      </c>
      <c r="G3" s="11" t="s">
        <v>131</v>
      </c>
      <c r="H3" s="11" t="s">
        <v>123</v>
      </c>
      <c r="I3" s="24" t="s">
        <v>124</v>
      </c>
      <c r="K3" s="23"/>
      <c r="M3" s="23"/>
      <c r="O3" s="23"/>
    </row>
    <row r="4" spans="1:15" ht="75" x14ac:dyDescent="0.25">
      <c r="A4" s="13" t="s">
        <v>100</v>
      </c>
      <c r="B4" s="13" t="s">
        <v>295</v>
      </c>
      <c r="C4" s="13" t="s">
        <v>296</v>
      </c>
      <c r="D4" s="13" t="s">
        <v>297</v>
      </c>
      <c r="F4" s="13" t="s">
        <v>300</v>
      </c>
      <c r="H4" s="36"/>
    </row>
    <row r="5" spans="1:15" ht="240" x14ac:dyDescent="0.25">
      <c r="A5" s="13" t="s">
        <v>301</v>
      </c>
      <c r="B5" s="13" t="s">
        <v>302</v>
      </c>
      <c r="C5" s="13" t="s">
        <v>303</v>
      </c>
    </row>
    <row r="6" spans="1:15" ht="409.5" x14ac:dyDescent="0.25">
      <c r="A6" s="13" t="s">
        <v>308</v>
      </c>
      <c r="B6" s="13" t="s">
        <v>307</v>
      </c>
      <c r="C6" s="13" t="s">
        <v>309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4"/>
  <sheetViews>
    <sheetView tabSelected="1" workbookViewId="0">
      <pane ySplit="3" topLeftCell="A4" activePane="bottomLeft" state="frozenSplit"/>
      <selection pane="bottomLeft" activeCell="F5" sqref="F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175</v>
      </c>
      <c r="G3" s="41" t="s">
        <v>176</v>
      </c>
      <c r="H3" s="11" t="s">
        <v>123</v>
      </c>
      <c r="I3" s="19" t="s">
        <v>124</v>
      </c>
      <c r="J3" s="11" t="s">
        <v>11</v>
      </c>
      <c r="K3" s="11" t="s">
        <v>258</v>
      </c>
      <c r="L3" s="23" t="s">
        <v>262</v>
      </c>
      <c r="M3" s="11" t="s">
        <v>131</v>
      </c>
      <c r="N3" s="23"/>
      <c r="P3" s="23"/>
    </row>
    <row r="4" spans="1:16" ht="45" x14ac:dyDescent="0.25">
      <c r="A4" s="13" t="s">
        <v>311</v>
      </c>
      <c r="B4" s="13" t="s">
        <v>312</v>
      </c>
      <c r="C4" s="13" t="s">
        <v>313</v>
      </c>
      <c r="D4" s="13" t="s">
        <v>96</v>
      </c>
      <c r="E4" s="21" t="s">
        <v>12</v>
      </c>
      <c r="F4" s="13" t="s">
        <v>315</v>
      </c>
      <c r="G4" s="21" t="s">
        <v>316</v>
      </c>
      <c r="H4" s="39" t="s">
        <v>188</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4"/>
  <sheetViews>
    <sheetView workbookViewId="0">
      <pane ySplit="3" topLeftCell="A4" activePane="bottomLeft" state="frozenSplit"/>
      <selection pane="bottomLeft" activeCell="A4" sqref="A4"/>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251</v>
      </c>
      <c r="H1" s="9"/>
      <c r="I1" s="28"/>
      <c r="J1" s="28"/>
    </row>
    <row r="2" spans="1:10" ht="60" x14ac:dyDescent="0.25">
      <c r="A2" s="3"/>
      <c r="B2" s="3"/>
      <c r="C2" s="3"/>
      <c r="D2" s="3"/>
      <c r="E2" s="43"/>
      <c r="F2" s="9"/>
      <c r="G2" s="9" t="s">
        <v>174</v>
      </c>
      <c r="H2" s="9"/>
      <c r="I2" s="28"/>
      <c r="J2" s="28"/>
    </row>
    <row r="3" spans="1:10" s="11" customFormat="1" ht="13.5" customHeight="1" x14ac:dyDescent="0.25">
      <c r="A3" s="2" t="s">
        <v>1</v>
      </c>
      <c r="B3" s="2" t="s">
        <v>2</v>
      </c>
      <c r="C3" s="2" t="s">
        <v>180</v>
      </c>
      <c r="D3" s="2" t="s">
        <v>123</v>
      </c>
      <c r="E3" s="42" t="s">
        <v>124</v>
      </c>
      <c r="F3" s="7" t="s">
        <v>14</v>
      </c>
      <c r="G3" s="7"/>
      <c r="H3" s="7"/>
      <c r="I3" s="29"/>
      <c r="J3" s="29"/>
    </row>
    <row r="4" spans="1:10" x14ac:dyDescent="0.25">
      <c r="A4" s="13" t="s">
        <v>315</v>
      </c>
      <c r="B4" s="13" t="s">
        <v>316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A8" sqref="A8"/>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95</v>
      </c>
      <c r="D3" s="2" t="s">
        <v>18</v>
      </c>
      <c r="E3" s="2" t="s">
        <v>3</v>
      </c>
      <c r="F3" s="2" t="s">
        <v>256</v>
      </c>
      <c r="G3" s="24" t="s">
        <v>259</v>
      </c>
      <c r="H3" s="7" t="s">
        <v>14</v>
      </c>
      <c r="I3" s="7"/>
      <c r="J3" s="7"/>
      <c r="K3" s="29"/>
      <c r="L3" s="29"/>
    </row>
    <row r="4" spans="1:13" ht="45" x14ac:dyDescent="0.25">
      <c r="A4" s="3" t="s">
        <v>254</v>
      </c>
      <c r="B4" s="3"/>
      <c r="D4" s="3" t="s">
        <v>19</v>
      </c>
      <c r="E4" s="3" t="s">
        <v>20</v>
      </c>
      <c r="F4" s="3" t="s">
        <v>21</v>
      </c>
      <c r="G4" s="18" t="s">
        <v>260</v>
      </c>
      <c r="H4" s="9"/>
      <c r="I4" s="9"/>
      <c r="J4" s="9"/>
      <c r="K4" s="28"/>
      <c r="L4" s="28"/>
      <c r="M4" s="3"/>
    </row>
    <row r="5" spans="1:13" ht="90" x14ac:dyDescent="0.25">
      <c r="A5" s="13" t="s">
        <v>255</v>
      </c>
      <c r="D5" s="13" t="s">
        <v>214</v>
      </c>
      <c r="E5" s="13" t="s">
        <v>215</v>
      </c>
      <c r="G5" s="21" t="s">
        <v>261</v>
      </c>
    </row>
    <row r="6" spans="1:13" ht="30" x14ac:dyDescent="0.25">
      <c r="A6" s="13" t="s">
        <v>297</v>
      </c>
      <c r="D6" s="13" t="s">
        <v>300</v>
      </c>
      <c r="F6" s="36" t="s">
        <v>299</v>
      </c>
      <c r="G6" s="21" t="s">
        <v>298</v>
      </c>
    </row>
    <row r="7" spans="1:13" ht="45" x14ac:dyDescent="0.25">
      <c r="A7" s="13" t="s">
        <v>304</v>
      </c>
      <c r="D7" s="13" t="s">
        <v>302</v>
      </c>
      <c r="F7" s="36" t="s">
        <v>306</v>
      </c>
      <c r="G7" s="21" t="s">
        <v>305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10" sqref="A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171</v>
      </c>
      <c r="B7">
        <v>1</v>
      </c>
    </row>
    <row r="8" spans="1:4" x14ac:dyDescent="0.25">
      <c r="A8" t="s">
        <v>5</v>
      </c>
      <c r="B8">
        <v>5</v>
      </c>
    </row>
    <row r="9" spans="1:4" x14ac:dyDescent="0.25">
      <c r="A9" t="s">
        <v>128</v>
      </c>
      <c r="B9">
        <v>10</v>
      </c>
    </row>
    <row r="10" spans="1:4" x14ac:dyDescent="0.25">
      <c r="A10" t="s">
        <v>267</v>
      </c>
      <c r="B10">
        <v>2</v>
      </c>
    </row>
    <row r="11" spans="1:4" x14ac:dyDescent="0.25">
      <c r="A11" t="s">
        <v>22</v>
      </c>
      <c r="B11">
        <v>1</v>
      </c>
    </row>
    <row r="12" spans="1:4" x14ac:dyDescent="0.25">
      <c r="A12" t="s">
        <v>72</v>
      </c>
      <c r="B12">
        <v>6</v>
      </c>
    </row>
    <row r="13" spans="1:4" x14ac:dyDescent="0.25">
      <c r="A13" t="s">
        <v>257</v>
      </c>
      <c r="B13">
        <v>4</v>
      </c>
    </row>
    <row r="14" spans="1:4" x14ac:dyDescent="0.25">
      <c r="A14" t="s">
        <v>82</v>
      </c>
      <c r="B14">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prediction</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Paul.Davidson</cp:lastModifiedBy>
  <dcterms:created xsi:type="dcterms:W3CDTF">2014-12-10T08:19:31Z</dcterms:created>
  <dcterms:modified xsi:type="dcterms:W3CDTF">2015-01-22T17:02:14Z</dcterms:modified>
</cp:coreProperties>
</file>